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ary Yang\Documents\Programing\Unity\CardStuff\"/>
    </mc:Choice>
  </mc:AlternateContent>
  <xr:revisionPtr revIDLastSave="0" documentId="13_ncr:1_{BDFD21E6-D4B8-4818-886C-87370FC70073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Requirements" sheetId="22" r:id="rId1"/>
    <sheet name="Post-Mortem" sheetId="18" r:id="rId2"/>
    <sheet name="Telemetry Data" sheetId="19" r:id="rId3"/>
    <sheet name="Code Repor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22" l="1"/>
  <c r="A23" i="22"/>
  <c r="A19" i="22"/>
  <c r="A2" i="18"/>
  <c r="A36" i="22"/>
  <c r="A34" i="22"/>
  <c r="A33" i="22"/>
  <c r="A32" i="22"/>
  <c r="A31" i="22"/>
  <c r="A28" i="22"/>
  <c r="A27" i="22"/>
  <c r="A26" i="22"/>
  <c r="A24" i="22"/>
  <c r="A22" i="22"/>
  <c r="A21" i="22"/>
  <c r="A18" i="22"/>
  <c r="A17" i="22"/>
  <c r="A16" i="22"/>
  <c r="A14" i="22"/>
  <c r="A13" i="22"/>
  <c r="A12" i="22"/>
  <c r="A11" i="22"/>
  <c r="A9" i="22"/>
  <c r="A8" i="22"/>
  <c r="A7" i="22"/>
  <c r="A6" i="22"/>
  <c r="D1" i="22" l="1"/>
  <c r="A1" i="22" s="1"/>
</calcChain>
</file>

<file path=xl/sharedStrings.xml><?xml version="1.0" encoding="utf-8"?>
<sst xmlns="http://schemas.openxmlformats.org/spreadsheetml/2006/main" count="47" uniqueCount="40">
  <si>
    <t>POST-MORTEM (200+ Words)</t>
  </si>
  <si>
    <t>Lecture
Score</t>
  </si>
  <si>
    <t>PROJECT REQUIREMENTS (Card Game Interface)</t>
  </si>
  <si>
    <t>ACTIONLIST, ACTIONS, GAME LOGIC, and MENU CODE</t>
  </si>
  <si>
    <t>Copy all action list, actions, game logic, and menu code into this tab. Format it so that it is decently readable.</t>
  </si>
  <si>
    <t>TELEMETRY DATA</t>
  </si>
  <si>
    <t>Include data that counts the number of times the ESC menu was activated and the counts for each option.</t>
  </si>
  <si>
    <t>Include data about cards played, hands won, and other appropriate game logic data for more elaborate rules.</t>
  </si>
  <si>
    <t>Grade</t>
  </si>
  <si>
    <t>Lecture score below
70% reduces the
project grade.</t>
  </si>
  <si>
    <t>Each requirement below receives a score of “No Credit” (completely or half missing, -10%), “Partial Credit” (more than half completed, +1%), “Full Credit” (fully completed, +3%), or "Extra Credit" (high quality or interesting, +5%).</t>
  </si>
  <si>
    <r>
      <t>Check-In 1F: Project Submission</t>
    </r>
    <r>
      <rPr>
        <sz val="14"/>
        <color theme="0"/>
        <rFont val="Calibri"/>
        <family val="2"/>
        <scheme val="minor"/>
      </rPr>
      <t xml:space="preserve"> (target is 70%+ project grade)</t>
    </r>
    <r>
      <rPr>
        <b/>
        <sz val="14"/>
        <color theme="0"/>
        <rFont val="Calibri"/>
        <family val="2"/>
        <scheme val="minor"/>
      </rPr>
      <t xml:space="preserve">
</t>
    </r>
    <r>
      <rPr>
        <i/>
        <sz val="14"/>
        <color theme="0"/>
        <rFont val="Calibri"/>
        <family val="2"/>
        <scheme val="minor"/>
      </rPr>
      <t>+5% for "First Hour", +3% for "Second Hour", +1% for "Target Missed", -10% for "Not Checked")</t>
    </r>
  </si>
  <si>
    <r>
      <t xml:space="preserve">· </t>
    </r>
    <r>
      <rPr>
        <b/>
        <sz val="12"/>
        <color theme="1"/>
        <rFont val="Calibri"/>
        <family val="2"/>
        <scheme val="minor"/>
      </rPr>
      <t>Post-Mortem:</t>
    </r>
    <r>
      <rPr>
        <sz val="12"/>
        <color theme="1"/>
        <rFont val="Calibri"/>
        <family val="2"/>
        <scheme val="minor"/>
      </rPr>
      <t xml:space="preserve"> 200+ words (in the post-mortem tab) that reflects on how the project went, what you learned, what you could improve, etc. </t>
    </r>
    <r>
      <rPr>
        <b/>
        <i/>
        <sz val="12"/>
        <color theme="1"/>
        <rFont val="Calibri"/>
        <family val="2"/>
        <scheme val="minor"/>
      </rPr>
      <t>Extra credit</t>
    </r>
    <r>
      <rPr>
        <sz val="12"/>
        <color theme="1"/>
        <rFont val="Calibri"/>
        <family val="2"/>
        <scheme val="minor"/>
      </rPr>
      <t xml:space="preserve"> for a lengthy, detailed, and insightful post-mortem.</t>
    </r>
  </si>
  <si>
    <r>
      <rPr>
        <sz val="12"/>
        <color theme="1"/>
        <rFont val="Symbol"/>
        <family val="1"/>
        <charset val="2"/>
      </rPr>
      <t>·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1 Unzipped Excel File, 1 Zipped Project File, 1 Zipped Archive File</t>
    </r>
    <r>
      <rPr>
        <sz val="12"/>
        <color theme="1"/>
        <rFont val="Calibri"/>
        <family val="2"/>
        <scheme val="minor"/>
      </rPr>
      <t>: This spreadsheet; project file to be unzipped and run (300 MB or less); archive file with source code and assets. DO NOT combine these 3 files into a single zipped file.</t>
    </r>
  </si>
  <si>
    <r>
      <t>Additional Bonuses</t>
    </r>
    <r>
      <rPr>
        <sz val="14"/>
        <color theme="0"/>
        <rFont val="Calibri"/>
        <family val="2"/>
        <scheme val="minor"/>
      </rPr>
      <t xml:space="preserve"> (list anything that might warrant additional bonuses below)</t>
    </r>
    <r>
      <rPr>
        <b/>
        <sz val="14"/>
        <color theme="0"/>
        <rFont val="Calibri"/>
        <family val="2"/>
        <scheme val="minor"/>
      </rPr>
      <t xml:space="preserve">
</t>
    </r>
    <r>
      <rPr>
        <i/>
        <sz val="14"/>
        <color theme="0"/>
        <rFont val="Calibri"/>
        <family val="2"/>
        <scheme val="minor"/>
      </rPr>
      <t>+5% for "Lots of Things", +3% for a "Big Thing", +1% for a "Small Thing")</t>
    </r>
  </si>
  <si>
    <t>Card game interface prototype implemented with a real-time action-based system. It is NOT a game, it is just an interface prototype. Any engine can be used (Unity, Godot, Unreal, custom, etc.) and there is no framework.</t>
  </si>
  <si>
    <r>
      <t>Check-In 1A: Animated Cards</t>
    </r>
    <r>
      <rPr>
        <sz val="14"/>
        <color theme="0"/>
        <rFont val="Calibri"/>
        <family val="2"/>
        <scheme val="minor"/>
      </rPr>
      <t xml:space="preserve"> (target is 2+ requirements)
</t>
    </r>
    <r>
      <rPr>
        <i/>
        <sz val="14"/>
        <color theme="0"/>
        <rFont val="Calibri"/>
        <family val="2"/>
        <scheme val="minor"/>
      </rPr>
      <t>+5% for "Target Met", +3% for "Some Progress", +1% for "No Progress", -10% for "Not Checked"</t>
    </r>
  </si>
  <si>
    <r>
      <t>Check-In 1B: Pseudo Card Game</t>
    </r>
    <r>
      <rPr>
        <sz val="14"/>
        <color theme="0"/>
        <rFont val="Calibri"/>
        <family val="2"/>
        <scheme val="minor"/>
      </rPr>
      <t xml:space="preserve"> (target is 4+ requirements)
</t>
    </r>
    <r>
      <rPr>
        <i/>
        <sz val="14"/>
        <color theme="0"/>
        <rFont val="Calibri"/>
        <family val="2"/>
        <scheme val="minor"/>
      </rPr>
      <t>+5% for "Target Met", +3% for "Some Progress", +1% for "No Progress", -10% for "Not Checked"</t>
    </r>
  </si>
  <si>
    <r>
      <t>·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Move &amp; Rotate:</t>
    </r>
    <r>
      <rPr>
        <sz val="12"/>
        <color theme="1"/>
        <rFont val="Calibri"/>
        <family val="2"/>
        <scheme val="minor"/>
      </rPr>
      <t xml:space="preserve"> A move action and a rotate action that interpolate the position and rotation of any entity over time, starting after a set delay. </t>
    </r>
    <r>
      <rPr>
        <b/>
        <i/>
        <sz val="12"/>
        <color theme="1"/>
        <rFont val="Calibri"/>
        <family val="2"/>
        <scheme val="minor"/>
      </rPr>
      <t>Extra credit</t>
    </r>
    <r>
      <rPr>
        <sz val="12"/>
        <color theme="1"/>
        <rFont val="Calibri"/>
        <family val="2"/>
        <scheme val="minor"/>
      </rPr>
      <t xml:space="preserve"> for three or more additional actions, such as scaling, flipping, callbacks, etc.</t>
    </r>
  </si>
  <si>
    <r>
      <t>·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Action List:</t>
    </r>
    <r>
      <rPr>
        <sz val="12"/>
        <color theme="1"/>
        <rFont val="Calibri"/>
        <family val="2"/>
        <scheme val="minor"/>
      </rPr>
      <t xml:space="preserve"> A working "list" of actions which updates every frame, in order, any actions added to it (deleting actions when they finish). </t>
    </r>
    <r>
      <rPr>
        <b/>
        <i/>
        <sz val="12"/>
        <color theme="1"/>
        <rFont val="Calibri"/>
        <family val="2"/>
        <scheme val="minor"/>
      </rPr>
      <t>Extra credit</t>
    </r>
    <r>
      <rPr>
        <sz val="12"/>
        <color theme="1"/>
        <rFont val="Calibri"/>
        <family val="2"/>
        <scheme val="minor"/>
      </rPr>
      <t xml:space="preserve"> if a method is implemented to group and/or nest multiple actions in a useful way.</t>
    </r>
  </si>
  <si>
    <r>
      <t>·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Animating Cards:</t>
    </r>
    <r>
      <rPr>
        <sz val="12"/>
        <color theme="1"/>
        <rFont val="Calibri"/>
        <family val="2"/>
        <scheme val="minor"/>
      </rPr>
      <t xml:space="preserve"> Multiple cards use actions to move and rotate randomly over and over, pausing for a second or so between movements. </t>
    </r>
    <r>
      <rPr>
        <b/>
        <i/>
        <sz val="12"/>
        <color theme="1"/>
        <rFont val="Calibri"/>
        <family val="2"/>
        <scheme val="minor"/>
      </rPr>
      <t>Extra credit</t>
    </r>
    <r>
      <rPr>
        <sz val="12"/>
        <color theme="1"/>
        <rFont val="Calibri"/>
        <family val="2"/>
        <scheme val="minor"/>
      </rPr>
      <t xml:space="preserve"> for using control features such as complex blocking, reversing, synchronizing, etc.</t>
    </r>
  </si>
  <si>
    <r>
      <t>·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Deck of Cards: </t>
    </r>
    <r>
      <rPr>
        <sz val="12"/>
        <color theme="1"/>
        <rFont val="Calibri"/>
        <family val="2"/>
        <scheme val="minor"/>
      </rPr>
      <t xml:space="preserve">30+ unique cards (any suits, numbers, etc. desired), each its own entity, is briefly shuffled using actions. They must look like a deck. </t>
    </r>
    <r>
      <rPr>
        <b/>
        <i/>
        <sz val="12"/>
        <color theme="1"/>
        <rFont val="Calibri"/>
        <family val="2"/>
        <scheme val="minor"/>
      </rPr>
      <t>Extra credit</t>
    </r>
    <r>
      <rPr>
        <sz val="12"/>
        <color theme="1"/>
        <rFont val="Calibri"/>
        <family val="2"/>
        <scheme val="minor"/>
      </rPr>
      <t xml:space="preserve"> for the visuals of the deck and shuffling being sophisticated and well-crafted.</t>
    </r>
  </si>
  <si>
    <r>
      <t>·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Hands of Cards: </t>
    </r>
    <r>
      <rPr>
        <sz val="12"/>
        <color theme="1"/>
        <rFont val="Calibri"/>
        <family val="2"/>
        <scheme val="minor"/>
      </rPr>
      <t>Actions are used to deal four or more hands of 7+ cards, evenly spaced around the screen. Only the player's cards are face up.</t>
    </r>
    <r>
      <rPr>
        <b/>
        <i/>
        <sz val="12"/>
        <color theme="1"/>
        <rFont val="Calibri"/>
        <family val="2"/>
        <scheme val="minor"/>
      </rPr>
      <t xml:space="preserve"> Extra credit </t>
    </r>
    <r>
      <rPr>
        <sz val="12"/>
        <color theme="1"/>
        <rFont val="Calibri"/>
        <family val="2"/>
        <scheme val="minor"/>
      </rPr>
      <t>for the visuals of the cards and dealing being sophisticated and well-crafted.</t>
    </r>
  </si>
  <si>
    <r>
      <t>·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Playing Cards: </t>
    </r>
    <r>
      <rPr>
        <sz val="12"/>
        <color theme="1"/>
        <rFont val="Calibri"/>
        <family val="2"/>
        <scheme val="minor"/>
      </rPr>
      <t>After dealing, each hand plays one card to the center (in order, face up). Discard the "trick" after a delay. Repeat until out of cards.</t>
    </r>
    <r>
      <rPr>
        <b/>
        <i/>
        <sz val="12"/>
        <color theme="1"/>
        <rFont val="Calibri"/>
        <family val="2"/>
        <scheme val="minor"/>
      </rPr>
      <t xml:space="preserve"> Extra credit </t>
    </r>
    <r>
      <rPr>
        <sz val="12"/>
        <color theme="1"/>
        <rFont val="Calibri"/>
        <family val="2"/>
        <scheme val="minor"/>
      </rPr>
      <t>for a "real" card game, but the other requirements must still be met.</t>
    </r>
  </si>
  <si>
    <r>
      <t xml:space="preserve">· </t>
    </r>
    <r>
      <rPr>
        <b/>
        <sz val="12"/>
        <color theme="1"/>
        <rFont val="Calibri"/>
        <family val="2"/>
        <scheme val="minor"/>
      </rPr>
      <t xml:space="preserve">Eased Actions: </t>
    </r>
    <r>
      <rPr>
        <sz val="12"/>
        <color theme="1"/>
        <rFont val="Calibri"/>
        <family val="2"/>
        <scheme val="minor"/>
      </rPr>
      <t xml:space="preserve">All actions have noticeable non-linear easing that is never jarring, and no entities ever suddenly appear, disappear, or teleport. </t>
    </r>
    <r>
      <rPr>
        <b/>
        <i/>
        <sz val="12"/>
        <color theme="1"/>
        <rFont val="Calibri"/>
        <family val="2"/>
        <scheme val="minor"/>
      </rPr>
      <t>Extra credit</t>
    </r>
    <r>
      <rPr>
        <sz val="12"/>
        <color theme="1"/>
        <rFont val="Calibri"/>
        <family val="2"/>
        <scheme val="minor"/>
      </rPr>
      <t xml:space="preserve"> for well-timed and crafted easing throughout the prototype.</t>
    </r>
  </si>
  <si>
    <r>
      <t xml:space="preserve">· </t>
    </r>
    <r>
      <rPr>
        <b/>
        <sz val="12"/>
        <color theme="1"/>
        <rFont val="Calibri"/>
        <family val="2"/>
        <scheme val="minor"/>
      </rPr>
      <t xml:space="preserve">Organic Adjustments: </t>
    </r>
    <r>
      <rPr>
        <sz val="12"/>
        <color theme="1"/>
        <rFont val="Calibri"/>
        <family val="2"/>
        <scheme val="minor"/>
      </rPr>
      <t xml:space="preserve">Hands of cards have a noticeable curve and procedural adjustments to position and rotation to create a natural appearance. </t>
    </r>
    <r>
      <rPr>
        <b/>
        <i/>
        <sz val="12"/>
        <color theme="1"/>
        <rFont val="Calibri"/>
        <family val="2"/>
        <scheme val="minor"/>
      </rPr>
      <t>Extra credit</t>
    </r>
    <r>
      <rPr>
        <sz val="12"/>
        <color theme="1"/>
        <rFont val="Calibri"/>
        <family val="2"/>
        <scheme val="minor"/>
      </rPr>
      <t xml:space="preserve"> for really well-crafted adjustments to the rotations and positions of the cards.</t>
    </r>
  </si>
  <si>
    <r>
      <t xml:space="preserve">· </t>
    </r>
    <r>
      <rPr>
        <b/>
        <sz val="12"/>
        <color theme="1"/>
        <rFont val="Calibri"/>
        <family val="2"/>
        <scheme val="minor"/>
      </rPr>
      <t xml:space="preserve">Fading UI: </t>
    </r>
    <r>
      <rPr>
        <sz val="12"/>
        <color theme="1"/>
        <rFont val="Calibri"/>
        <family val="2"/>
        <scheme val="minor"/>
      </rPr>
      <t xml:space="preserve">UI elements for player names, player scores, taking tricks, etc. dynamically fade in and out (as appropriate) using actions. </t>
    </r>
    <r>
      <rPr>
        <b/>
        <i/>
        <sz val="12"/>
        <color theme="1"/>
        <rFont val="Calibri"/>
        <family val="2"/>
        <scheme val="minor"/>
      </rPr>
      <t>Extra credit</t>
    </r>
    <r>
      <rPr>
        <sz val="12"/>
        <color theme="1"/>
        <rFont val="Calibri"/>
        <family val="2"/>
        <scheme val="minor"/>
      </rPr>
      <t xml:space="preserve"> for well-crafted UI elements, good placement, and sophisticated movement/fading.</t>
    </r>
  </si>
  <si>
    <r>
      <t>Check-In 1C: Easing and Adjustments</t>
    </r>
    <r>
      <rPr>
        <sz val="14"/>
        <color theme="0"/>
        <rFont val="Calibri"/>
        <family val="2"/>
        <scheme val="minor"/>
      </rPr>
      <t xml:space="preserve"> (target is 6+ requirements)
</t>
    </r>
    <r>
      <rPr>
        <i/>
        <sz val="14"/>
        <color theme="0"/>
        <rFont val="Calibri"/>
        <family val="2"/>
        <scheme val="minor"/>
      </rPr>
      <t>+5% for "Target Met", +3% for "Some Progress", +1% for "No Progress", -10% for "Not Checked"</t>
    </r>
  </si>
  <si>
    <r>
      <t xml:space="preserve">· </t>
    </r>
    <r>
      <rPr>
        <b/>
        <sz val="12"/>
        <color theme="1"/>
        <rFont val="Calibri"/>
        <family val="2"/>
        <scheme val="minor"/>
      </rPr>
      <t xml:space="preserve">Card Playing Adjustments: </t>
    </r>
    <r>
      <rPr>
        <sz val="12"/>
        <color theme="1"/>
        <rFont val="Calibri"/>
        <family val="2"/>
        <scheme val="minor"/>
      </rPr>
      <t xml:space="preserve">The player can click on a card to play it, with the hand readjusting afterwards. Other hands play randomly but also readjust. </t>
    </r>
    <r>
      <rPr>
        <b/>
        <i/>
        <sz val="12"/>
        <color theme="1"/>
        <rFont val="Calibri"/>
        <family val="2"/>
        <scheme val="minor"/>
      </rPr>
      <t>Extra credit</t>
    </r>
    <r>
      <rPr>
        <sz val="12"/>
        <color theme="1"/>
        <rFont val="Calibri"/>
        <family val="2"/>
        <scheme val="minor"/>
      </rPr>
      <t xml:space="preserve"> for well-crafted collection and removal of played cards.</t>
    </r>
  </si>
  <si>
    <r>
      <t>Check-In 1D: Animated Menus and UI</t>
    </r>
    <r>
      <rPr>
        <sz val="14"/>
        <color theme="0"/>
        <rFont val="Calibri"/>
        <family val="2"/>
        <scheme val="minor"/>
      </rPr>
      <t xml:space="preserve"> (target is 8+ requirements)
</t>
    </r>
    <r>
      <rPr>
        <i/>
        <sz val="14"/>
        <color theme="0"/>
        <rFont val="Calibri"/>
        <family val="2"/>
        <scheme val="minor"/>
      </rPr>
      <t>+5% for "Target Met", +3% for "Some Progress", +1% for "No Progress", -10% for "Not Checked"</t>
    </r>
  </si>
  <si>
    <r>
      <t xml:space="preserve">· </t>
    </r>
    <r>
      <rPr>
        <b/>
        <sz val="12"/>
        <color theme="1"/>
        <rFont val="Calibri"/>
        <family val="2"/>
        <scheme val="minor"/>
      </rPr>
      <t xml:space="preserve">Debug UI: </t>
    </r>
    <r>
      <rPr>
        <sz val="12"/>
        <color theme="1"/>
        <rFont val="Calibri"/>
        <family val="2"/>
        <scheme val="minor"/>
      </rPr>
      <t xml:space="preserve">"D" toggles onscreen debug text that shows the current state of the action list in real-time, with enough details to be useful. </t>
    </r>
    <r>
      <rPr>
        <b/>
        <i/>
        <sz val="12"/>
        <color theme="1"/>
        <rFont val="Calibri"/>
        <family val="2"/>
        <scheme val="minor"/>
      </rPr>
      <t xml:space="preserve">Extra credit </t>
    </r>
    <r>
      <rPr>
        <sz val="12"/>
        <color theme="1"/>
        <rFont val="Calibri"/>
        <family val="2"/>
        <scheme val="minor"/>
      </rPr>
      <t>for well-crafted debug UI that is easy to read and has detailed action information.</t>
    </r>
  </si>
  <si>
    <r>
      <t xml:space="preserve">· </t>
    </r>
    <r>
      <rPr>
        <b/>
        <sz val="12"/>
        <color theme="1"/>
        <rFont val="Calibri"/>
        <family val="2"/>
        <scheme val="minor"/>
      </rPr>
      <t xml:space="preserve">Telemetry Data: </t>
    </r>
    <r>
      <rPr>
        <sz val="12"/>
        <color theme="1"/>
        <rFont val="Calibri"/>
        <family val="2"/>
        <scheme val="minor"/>
      </rPr>
      <t xml:space="preserve">Game and menu data is collected and written out, then copied to the telemetry data tab and formatted well (see tab for details). </t>
    </r>
    <r>
      <rPr>
        <b/>
        <i/>
        <sz val="12"/>
        <color theme="1"/>
        <rFont val="Calibri"/>
        <family val="2"/>
        <scheme val="minor"/>
      </rPr>
      <t>Extra credit</t>
    </r>
    <r>
      <rPr>
        <sz val="12"/>
        <color theme="1"/>
        <rFont val="Calibri"/>
        <family val="2"/>
        <scheme val="minor"/>
      </rPr>
      <t xml:space="preserve"> for extensive data from a "real" game or multiple very long stress tests.</t>
    </r>
  </si>
  <si>
    <r>
      <t xml:space="preserve">· </t>
    </r>
    <r>
      <rPr>
        <b/>
        <sz val="12"/>
        <color theme="1"/>
        <rFont val="Calibri"/>
        <family val="2"/>
        <scheme val="minor"/>
      </rPr>
      <t>Restrictions and Code Report:</t>
    </r>
    <r>
      <rPr>
        <sz val="12"/>
        <color theme="1"/>
        <rFont val="Calibri"/>
        <family val="2"/>
        <scheme val="minor"/>
      </rPr>
      <t xml:space="preserve"> No major technical/UX issues, mouse controls for card selection and menus, uses actions throughout, complete code report. </t>
    </r>
    <r>
      <rPr>
        <b/>
        <i/>
        <sz val="12"/>
        <color theme="1"/>
        <rFont val="Calibri"/>
        <family val="2"/>
        <scheme val="minor"/>
      </rPr>
      <t>Extra credit</t>
    </r>
    <r>
      <rPr>
        <sz val="12"/>
        <color theme="1"/>
        <rFont val="Calibri"/>
        <family val="2"/>
        <scheme val="minor"/>
      </rPr>
      <t xml:space="preserve"> for well organized, commented, and formatted code report.</t>
    </r>
  </si>
  <si>
    <r>
      <t xml:space="preserve">· </t>
    </r>
    <r>
      <rPr>
        <b/>
        <sz val="12"/>
        <color theme="1"/>
        <rFont val="Calibri"/>
        <family val="2"/>
        <scheme val="minor"/>
      </rPr>
      <t>Automation:</t>
    </r>
    <r>
      <rPr>
        <sz val="12"/>
        <color theme="1"/>
        <rFont val="Calibri"/>
        <family val="2"/>
        <scheme val="minor"/>
      </rPr>
      <t xml:space="preserve"> "T" toggles an auto mode that plays a hand, hits ESC, then a random menu option (not quit), then plays another hand, repeatedly. </t>
    </r>
    <r>
      <rPr>
        <b/>
        <i/>
        <sz val="12"/>
        <color theme="1"/>
        <rFont val="Calibri"/>
        <family val="2"/>
        <scheme val="minor"/>
      </rPr>
      <t>Extra credit</t>
    </r>
    <r>
      <rPr>
        <sz val="12"/>
        <color theme="1"/>
        <rFont val="Calibri"/>
        <family val="2"/>
        <scheme val="minor"/>
      </rPr>
      <t xml:space="preserve"> for a menu item with slow, normal, fast, and ultra-fast speed options.</t>
    </r>
  </si>
  <si>
    <r>
      <t xml:space="preserve">· </t>
    </r>
    <r>
      <rPr>
        <b/>
        <sz val="12"/>
        <color theme="1"/>
        <rFont val="Calibri"/>
        <family val="2"/>
        <scheme val="minor"/>
      </rPr>
      <t xml:space="preserve">Performance Data: </t>
    </r>
    <r>
      <rPr>
        <sz val="12"/>
        <color theme="1"/>
        <rFont val="Calibri"/>
        <family val="2"/>
        <scheme val="minor"/>
      </rPr>
      <t xml:space="preserve">Performance data is displayed when the debug UI is active (mean, median, and worst frame rate in the last 10-30 seconds) and is added to any telemetry data. </t>
    </r>
    <r>
      <rPr>
        <b/>
        <i/>
        <sz val="12"/>
        <color theme="1"/>
        <rFont val="Calibri"/>
        <family val="2"/>
        <scheme val="minor"/>
      </rPr>
      <t>Extra credit</t>
    </r>
    <r>
      <rPr>
        <sz val="12"/>
        <color theme="1"/>
        <rFont val="Calibri"/>
        <family val="2"/>
        <scheme val="minor"/>
      </rPr>
      <t xml:space="preserve"> for a real-time graphical display of data.</t>
    </r>
  </si>
  <si>
    <r>
      <t>Check-In 1E: Telemetry and Automation</t>
    </r>
    <r>
      <rPr>
        <sz val="14"/>
        <color theme="0"/>
        <rFont val="Calibri"/>
        <family val="2"/>
        <scheme val="minor"/>
      </rPr>
      <t xml:space="preserve"> (target is 10+ requirements)
</t>
    </r>
    <r>
      <rPr>
        <i/>
        <sz val="14"/>
        <color theme="0"/>
        <rFont val="Calibri"/>
        <family val="2"/>
        <scheme val="minor"/>
      </rPr>
      <t>+5% for "Target Met", +3% for "Some Progress", +1% for "No Progress", -10% for "Not Checked"</t>
    </r>
  </si>
  <si>
    <t>Include performance data that includes the mean, median, and worst frame rate every 10-30 seconds.</t>
  </si>
  <si>
    <r>
      <t xml:space="preserve">· </t>
    </r>
    <r>
      <rPr>
        <b/>
        <sz val="12"/>
        <color theme="1"/>
        <rFont val="Calibri"/>
        <family val="2"/>
        <scheme val="minor"/>
      </rPr>
      <t xml:space="preserve">ESC Menu: </t>
    </r>
    <r>
      <rPr>
        <sz val="12"/>
        <color theme="1"/>
        <rFont val="Calibri"/>
        <family val="2"/>
        <scheme val="minor"/>
      </rPr>
      <t xml:space="preserve">Elements animate in/out (separately with actions) with functional resume, play speed, hand size, hand number, and quit options. </t>
    </r>
    <r>
      <rPr>
        <b/>
        <i/>
        <sz val="12"/>
        <color theme="1"/>
        <rFont val="Calibri"/>
        <family val="2"/>
        <scheme val="minor"/>
      </rPr>
      <t>Extra credit</t>
    </r>
    <r>
      <rPr>
        <sz val="12"/>
        <color theme="1"/>
        <rFont val="Calibri"/>
        <family val="2"/>
        <scheme val="minor"/>
      </rPr>
      <t xml:space="preserve"> if well-crafted with sophisticated animations when going both in and out.</t>
    </r>
  </si>
  <si>
    <t>Full Credit</t>
  </si>
  <si>
    <t>Partial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</si>
</sst>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%;\-0%"/>
  </numFmts>
  <fonts count="2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Symbol"/>
      <family val="1"/>
      <charset val="2"/>
    </font>
    <font>
      <sz val="12"/>
      <color theme="1"/>
      <name val="Calibri"/>
      <family val="1"/>
      <charset val="2"/>
      <scheme val="minor"/>
    </font>
    <font>
      <i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4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Calibri"/>
      <family val="2"/>
    </font>
    <font>
      <i/>
      <sz val="8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6" fillId="0" borderId="0" xfId="0" applyFont="1"/>
    <xf numFmtId="0" fontId="1" fillId="0" borderId="0" xfId="0" applyFont="1" applyAlignment="1">
      <alignment horizontal="left" wrapText="1" indent="1"/>
    </xf>
    <xf numFmtId="0" fontId="3" fillId="0" borderId="3" xfId="0" applyFont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indent="1"/>
    </xf>
    <xf numFmtId="0" fontId="11" fillId="3" borderId="0" xfId="0" applyFont="1" applyFill="1"/>
    <xf numFmtId="0" fontId="10" fillId="3" borderId="1" xfId="0" applyFont="1" applyFill="1" applyBorder="1" applyAlignment="1">
      <alignment horizontal="center"/>
    </xf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top" wrapText="1" indent="1"/>
    </xf>
    <xf numFmtId="9" fontId="1" fillId="0" borderId="0" xfId="1" applyFont="1"/>
    <xf numFmtId="0" fontId="1" fillId="0" borderId="3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/>
    </xf>
    <xf numFmtId="9" fontId="15" fillId="0" borderId="4" xfId="1" applyFont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7" fillId="2" borderId="2" xfId="0" applyFont="1" applyFill="1" applyBorder="1" applyAlignment="1">
      <alignment horizontal="left" vertical="center" indent="1"/>
    </xf>
    <xf numFmtId="0" fontId="1" fillId="0" borderId="0" xfId="0" applyFont="1" applyAlignment="1">
      <alignment horizontal="center"/>
    </xf>
    <xf numFmtId="9" fontId="1" fillId="0" borderId="0" xfId="1" applyFont="1" applyAlignment="1">
      <alignment horizontal="center"/>
    </xf>
    <xf numFmtId="0" fontId="17" fillId="0" borderId="0" xfId="0" applyFont="1" applyAlignment="1">
      <alignment horizontal="left" vertical="top" indent="1"/>
    </xf>
    <xf numFmtId="0" fontId="10" fillId="0" borderId="0" xfId="0" applyFont="1" applyAlignment="1">
      <alignment horizontal="left" indent="1"/>
    </xf>
    <xf numFmtId="0" fontId="11" fillId="0" borderId="0" xfId="0" applyFont="1"/>
    <xf numFmtId="0" fontId="7" fillId="2" borderId="0" xfId="0" applyFont="1" applyFill="1" applyAlignment="1">
      <alignment horizontal="left" vertical="top" indent="1"/>
    </xf>
    <xf numFmtId="0" fontId="0" fillId="0" borderId="0" xfId="0" applyAlignment="1">
      <alignment horizontal="left" vertical="top" indent="1"/>
    </xf>
    <xf numFmtId="0" fontId="0" fillId="0" borderId="0" xfId="0" applyAlignment="1">
      <alignment horizontal="left" vertical="top"/>
    </xf>
    <xf numFmtId="0" fontId="18" fillId="0" borderId="0" xfId="0" applyFont="1" applyAlignment="1">
      <alignment horizontal="left" vertical="top"/>
    </xf>
    <xf numFmtId="0" fontId="5" fillId="0" borderId="0" xfId="0" applyFont="1" applyAlignment="1">
      <alignment horizontal="left" indent="1"/>
    </xf>
    <xf numFmtId="0" fontId="16" fillId="3" borderId="6" xfId="0" applyFont="1" applyFill="1" applyBorder="1" applyAlignment="1">
      <alignment horizontal="center" vertical="center"/>
    </xf>
    <xf numFmtId="164" fontId="19" fillId="0" borderId="0" xfId="0" applyNumberFormat="1" applyFont="1"/>
    <xf numFmtId="164" fontId="2" fillId="0" borderId="4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wrapText="1" indent="1"/>
    </xf>
    <xf numFmtId="0" fontId="1" fillId="0" borderId="0" xfId="0" applyFont="1" applyAlignment="1">
      <alignment horizontal="left" vertical="center"/>
    </xf>
    <xf numFmtId="0" fontId="14" fillId="0" borderId="8" xfId="0" applyFont="1" applyBorder="1" applyAlignment="1">
      <alignment horizontal="center" vertical="top" wrapText="1"/>
    </xf>
    <xf numFmtId="0" fontId="13" fillId="0" borderId="8" xfId="0" applyFont="1" applyBorder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3" fillId="0" borderId="9" xfId="0" applyFont="1" applyBorder="1" applyAlignment="1">
      <alignment horizontal="center" vertical="top" wrapText="1"/>
    </xf>
    <xf numFmtId="9" fontId="1" fillId="0" borderId="4" xfId="1" applyFont="1" applyBorder="1" applyAlignment="1">
      <alignment horizontal="left" vertical="top"/>
    </xf>
    <xf numFmtId="9" fontId="1" fillId="0" borderId="5" xfId="1" applyFont="1" applyBorder="1" applyAlignment="1">
      <alignment horizontal="left" vertical="top"/>
    </xf>
    <xf numFmtId="9" fontId="1" fillId="0" borderId="6" xfId="1" applyFont="1" applyBorder="1" applyAlignment="1">
      <alignment horizontal="left" vertical="top"/>
    </xf>
    <xf numFmtId="0" fontId="1" fillId="0" borderId="8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7" fillId="2" borderId="7" xfId="0" applyFont="1" applyFill="1" applyBorder="1" applyAlignment="1">
      <alignment horizontal="left" indent="1"/>
    </xf>
    <xf numFmtId="0" fontId="7" fillId="2" borderId="0" xfId="0" applyFont="1" applyFill="1" applyAlignment="1">
      <alignment horizontal="left" indent="1"/>
    </xf>
  </cellXfs>
  <cellStyles count="2">
    <cellStyle name="Normal" xfId="0" builtinId="0"/>
    <cellStyle name="Percent" xfId="1" builtinId="5"/>
  </cellStyles>
  <dxfs count="72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7" tint="0.39994506668294322"/>
        </patternFill>
      </fill>
    </dxf>
    <dxf>
      <font>
        <strike val="0"/>
      </font>
      <fill>
        <patternFill>
          <bgColor theme="7" tint="0.39994506668294322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strike val="0"/>
      </font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strike val="0"/>
      </font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ill>
        <patternFill>
          <bgColor theme="7" tint="0.39994506668294322"/>
        </patternFill>
      </fill>
    </dxf>
    <dxf>
      <font>
        <strike val="0"/>
      </font>
      <fill>
        <patternFill>
          <bgColor theme="7" tint="0.39994506668294322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ill>
        <patternFill>
          <bgColor theme="7" tint="0.39994506668294322"/>
        </patternFill>
      </fill>
    </dxf>
    <dxf>
      <font>
        <strike val="0"/>
      </font>
      <fill>
        <patternFill>
          <bgColor theme="7" tint="0.39994506668294322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7" tint="0.39994506668294322"/>
        </patternFill>
      </fill>
    </dxf>
    <dxf>
      <font>
        <strike val="0"/>
      </font>
      <fill>
        <patternFill>
          <bgColor theme="7" tint="0.39994506668294322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strike val="0"/>
      </font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7" tint="0.39994506668294322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strike val="0"/>
      </font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8157B-2C69-40ED-8105-705AC516B6B8}">
  <dimension ref="A1:E42"/>
  <sheetViews>
    <sheetView tabSelected="1" topLeftCell="A18" workbookViewId="0">
      <selection activeCell="B16" sqref="B16"/>
    </sheetView>
  </sheetViews>
  <sheetFormatPr defaultColWidth="9.05078125" defaultRowHeight="15.6"/>
  <cols>
    <col min="1" max="1" width="6.578125" style="14" customWidth="1"/>
    <col min="2" max="2" width="8.578125" style="1" customWidth="1"/>
    <col min="3" max="3" width="106.68359375" style="4" customWidth="1"/>
    <col min="4" max="4" width="9.05078125" style="1"/>
    <col min="5" max="5" width="9.05078125" style="10"/>
    <col min="6" max="16384" width="9.05078125" style="1"/>
  </cols>
  <sheetData>
    <row r="1" spans="1:5" s="3" customFormat="1" ht="23.4" thickBot="1">
      <c r="A1" s="18">
        <f>MIN(1,(MAX(D1,(SUM(A4:A963)+IF(ISBLANK(A2),0,MIN(0,A2-0.7))))))</f>
        <v>0.25</v>
      </c>
      <c r="B1" s="32" t="s">
        <v>8</v>
      </c>
      <c r="C1" s="21" t="s">
        <v>2</v>
      </c>
      <c r="D1" s="33">
        <f>MAX(A6,0)+MAX(A11,0)+MAX(A16,0)+MAX(A21,0)+MAX(A26,0)+MAX(A31,0)+COUNTIF(A7:A9,"&gt;0")*0.01+COUNTIF(A12:A14,"&gt;0")*0.01+COUNTIF(A17:A19,"&gt;0")*0.01+COUNTIF(A22:A24,"&gt;0")*0.01+COUNTIF(A27:A28,"&gt;0")*0.01+COUNTIF(A32:A34,"&gt;0")*0.01</f>
        <v>0.09</v>
      </c>
      <c r="E1" s="9"/>
    </row>
    <row r="2" spans="1:5" ht="31.5" thickBot="1">
      <c r="A2" s="17">
        <v>1</v>
      </c>
      <c r="B2" s="16" t="s">
        <v>1</v>
      </c>
      <c r="C2" s="15" t="s">
        <v>15</v>
      </c>
    </row>
    <row r="3" spans="1:5" ht="4.05" customHeight="1">
      <c r="A3" s="41" t="s">
        <v>9</v>
      </c>
      <c r="B3" s="42"/>
      <c r="C3" s="15"/>
    </row>
    <row r="4" spans="1:5" ht="31.5" thickBot="1">
      <c r="A4" s="43"/>
      <c r="B4" s="43"/>
      <c r="C4" s="15" t="s">
        <v>10</v>
      </c>
    </row>
    <row r="5" spans="1:5" ht="8.1" customHeight="1" thickBot="1">
      <c r="A5" s="44"/>
      <c r="B5" s="44"/>
      <c r="C5" s="13"/>
    </row>
    <row r="6" spans="1:5" s="2" customFormat="1" ht="36.9" thickBot="1">
      <c r="A6" s="34" t="str">
        <f>IF(LEFT(B6,3)="Not",-0.1,IF(LEFT(B6,2)="No",0.01,IF(LEFT(B6,4)="Some",0.03,IF(LEFT(B6,6)="Target",0.05,"n/a"))))</f>
        <v>n/a</v>
      </c>
      <c r="B6" s="35"/>
      <c r="C6" s="36" t="s">
        <v>16</v>
      </c>
      <c r="E6" s="11"/>
    </row>
    <row r="7" spans="1:5" s="2" customFormat="1" ht="31.5" thickBot="1">
      <c r="A7" s="34">
        <f>IF(LEFT(B7,2)="No",-0.1,IF(LEFT(B7,7)="Partial",0.01,IF(LEFT(B7,4)="Full",0.03,IF(LEFT(B7,5)="Extra",0.05,"n/a"))))</f>
        <v>0.03</v>
      </c>
      <c r="B7" s="35" t="s">
        <v>38</v>
      </c>
      <c r="C7" s="37" t="s">
        <v>19</v>
      </c>
      <c r="E7" s="12"/>
    </row>
    <row r="8" spans="1:5" s="2" customFormat="1" ht="31.5" thickBot="1">
      <c r="A8" s="34">
        <f>IF(LEFT(B8,2)="No",-0.1,IF(LEFT(B8,7)="Partial",0.01,IF(LEFT(B8,4)="Full",0.03,IF(LEFT(B8,5)="Extra",0.05,"n/a"))))</f>
        <v>0.03</v>
      </c>
      <c r="B8" s="35" t="s">
        <v>38</v>
      </c>
      <c r="C8" s="37" t="s">
        <v>18</v>
      </c>
      <c r="E8" s="12"/>
    </row>
    <row r="9" spans="1:5" s="2" customFormat="1" ht="31.5" thickBot="1">
      <c r="A9" s="34">
        <f>IF(LEFT(B9,2)="No",-0.1,IF(LEFT(B9,7)="Partial",0.01,IF(LEFT(B9,4)="Full",0.03,IF(LEFT(B9,5)="Extra",0.05,"n/a"))))</f>
        <v>0.03</v>
      </c>
      <c r="B9" s="35" t="s">
        <v>38</v>
      </c>
      <c r="C9" s="37" t="s">
        <v>20</v>
      </c>
      <c r="E9" s="12"/>
    </row>
    <row r="10" spans="1:5" ht="8.1" customHeight="1" thickBot="1">
      <c r="C10" s="38"/>
    </row>
    <row r="11" spans="1:5" s="2" customFormat="1" ht="36.9" thickBot="1">
      <c r="A11" s="34" t="str">
        <f>IF(LEFT(B11,3)="Not",-0.1,IF(LEFT(B11,2)="No",0.01,IF(LEFT(B11,4)="Some",0.03,IF(LEFT(B11,6)="Target",0.05,"n/a"))))</f>
        <v>n/a</v>
      </c>
      <c r="B11" s="35"/>
      <c r="C11" s="36" t="s">
        <v>17</v>
      </c>
      <c r="E11" s="12"/>
    </row>
    <row r="12" spans="1:5" s="2" customFormat="1" ht="31.9" customHeight="1" thickBot="1">
      <c r="A12" s="34">
        <f>IF(LEFT(B12,2)="No",-0.1,IF(LEFT(B12,7)="Partial",0.01,IF(LEFT(B12,4)="Full",0.03,IF(LEFT(B12,5)="Extra",0.05,"n/a"))))</f>
        <v>0.03</v>
      </c>
      <c r="B12" s="35" t="s">
        <v>38</v>
      </c>
      <c r="C12" s="37" t="s">
        <v>21</v>
      </c>
      <c r="E12" s="12"/>
    </row>
    <row r="13" spans="1:5" s="2" customFormat="1" ht="31.5" thickBot="1">
      <c r="A13" s="34">
        <f>IF(LEFT(B13,2)="No",-0.1,IF(LEFT(B13,7)="Partial",0.01,IF(LEFT(B13,4)="Full",0.03,IF(LEFT(B13,5)="Extra",0.05,"n/a"))))</f>
        <v>0.03</v>
      </c>
      <c r="B13" s="35" t="s">
        <v>38</v>
      </c>
      <c r="C13" s="37" t="s">
        <v>22</v>
      </c>
      <c r="E13" s="11"/>
    </row>
    <row r="14" spans="1:5" s="2" customFormat="1" ht="31.5" thickBot="1">
      <c r="A14" s="34">
        <f>IF(LEFT(B14,2)="No",-0.1,IF(LEFT(B14,7)="Partial",0.01,IF(LEFT(B14,4)="Full",0.03,IF(LEFT(B14,5)="Extra",0.05,"n/a"))))</f>
        <v>0.01</v>
      </c>
      <c r="B14" s="35" t="s">
        <v>39</v>
      </c>
      <c r="C14" s="37" t="s">
        <v>23</v>
      </c>
      <c r="E14" s="12"/>
    </row>
    <row r="15" spans="1:5" ht="8.1" customHeight="1" thickBot="1">
      <c r="C15" s="13"/>
    </row>
    <row r="16" spans="1:5" s="2" customFormat="1" ht="36.9" thickBot="1">
      <c r="A16" s="34" t="str">
        <f>IF(LEFT(B16,3)="Not",-0.1,IF(LEFT(B16,2)="No",0.01,IF(LEFT(B16,4)="Some",0.03,IF(LEFT(B16,6)="Target",0.05,"n/a"))))</f>
        <v>n/a</v>
      </c>
      <c r="B16" s="35"/>
      <c r="C16" s="36" t="s">
        <v>27</v>
      </c>
      <c r="E16" s="12"/>
    </row>
    <row r="17" spans="1:5" s="2" customFormat="1" ht="31.5" thickBot="1">
      <c r="A17" s="34">
        <f>IF(LEFT(B17,2)="No",-0.1,IF(LEFT(B17,7)="Partial",0.01,IF(LEFT(B17,4)="Full",0.03,IF(LEFT(B17,5)="Extra",0.05,"n/a"))))</f>
        <v>0.03</v>
      </c>
      <c r="B17" s="35" t="s">
        <v>38</v>
      </c>
      <c r="C17" s="37" t="s">
        <v>24</v>
      </c>
      <c r="E17" s="12"/>
    </row>
    <row r="18" spans="1:5" s="2" customFormat="1" ht="31.9" customHeight="1" thickBot="1">
      <c r="A18" s="34">
        <f>IF(LEFT(B18,2)="No",-0.1,IF(LEFT(B18,7)="Partial",0.01,IF(LEFT(B18,4)="Full",0.03,IF(LEFT(B18,5)="Extra",0.05,"n/a"))))</f>
        <v>0.03</v>
      </c>
      <c r="B18" s="35" t="s">
        <v>38</v>
      </c>
      <c r="C18" s="37" t="s">
        <v>25</v>
      </c>
      <c r="E18" s="11"/>
    </row>
    <row r="19" spans="1:5" s="2" customFormat="1" ht="31.5" thickBot="1">
      <c r="A19" s="34">
        <f>IF(LEFT(B19,2)="No",-0.1,IF(LEFT(B19,7)="Partial",0.01,IF(LEFT(B19,4)="Full",0.03,IF(LEFT(B19,5)="Extra",0.05,"n/a"))))</f>
        <v>0.03</v>
      </c>
      <c r="B19" s="35" t="s">
        <v>38</v>
      </c>
      <c r="C19" s="37" t="s">
        <v>28</v>
      </c>
      <c r="E19" s="12"/>
    </row>
    <row r="20" spans="1:5" ht="8.1" customHeight="1" thickBot="1">
      <c r="C20" s="13"/>
    </row>
    <row r="21" spans="1:5" s="2" customFormat="1" ht="36.9" thickBot="1">
      <c r="A21" s="34" t="str">
        <f>IF(LEFT(B21,3)="Not",-0.1,IF(LEFT(B21,2)="No",0.01,IF(LEFT(B21,4)="Some",0.03,IF(LEFT(B21,6)="Target",0.05,"n/a"))))</f>
        <v>n/a</v>
      </c>
      <c r="B21" s="35"/>
      <c r="C21" s="36" t="s">
        <v>29</v>
      </c>
      <c r="E21" s="11"/>
    </row>
    <row r="22" spans="1:5" s="2" customFormat="1" ht="31.5" thickBot="1">
      <c r="A22" s="34" t="str">
        <f>IF(LEFT(B22,2)="No",-0.1,IF(LEFT(B22,7)="Partial",0.01,IF(LEFT(B22,4)="Full",0.03,IF(LEFT(B22,5)="Extra",0.05,"n/a"))))</f>
        <v>n/a</v>
      </c>
      <c r="B22" s="35"/>
      <c r="C22" s="37" t="s">
        <v>37</v>
      </c>
      <c r="E22" s="40"/>
    </row>
    <row r="23" spans="1:5" s="2" customFormat="1" ht="31.9" customHeight="1" thickBot="1">
      <c r="A23" s="34" t="str">
        <f>IF(LEFT(B23,2)="No",-0.1,IF(LEFT(B23,7)="Partial",0.01,IF(LEFT(B23,4)="Full",0.03,IF(LEFT(B23,5)="Extra",0.05,"n/a"))))</f>
        <v>n/a</v>
      </c>
      <c r="B23" s="35"/>
      <c r="C23" s="5" t="s">
        <v>26</v>
      </c>
      <c r="E23" s="12"/>
    </row>
    <row r="24" spans="1:5" s="2" customFormat="1" ht="31.5" thickBot="1">
      <c r="A24" s="34" t="str">
        <f>IF(LEFT(B24,2)="No",-0.1,IF(LEFT(B24,7)="Partial",0.01,IF(LEFT(B24,4)="Full",0.03,IF(LEFT(B24,5)="Extra",0.05,"n/a"))))</f>
        <v>n/a</v>
      </c>
      <c r="B24" s="35"/>
      <c r="C24" s="37" t="s">
        <v>30</v>
      </c>
      <c r="E24" s="11"/>
    </row>
    <row r="25" spans="1:5" ht="8.1" customHeight="1" thickBot="1">
      <c r="C25" s="13"/>
    </row>
    <row r="26" spans="1:5" s="2" customFormat="1" ht="36.9" thickBot="1">
      <c r="A26" s="34" t="str">
        <f>IF(LEFT(B26,3)="Not",-0.1,IF(LEFT(B26,2)="No",0.01,IF(LEFT(B26,4)="Some",0.03,IF(LEFT(B26,6)="Target",0.05,"n/a"))))</f>
        <v>n/a</v>
      </c>
      <c r="B26" s="35"/>
      <c r="C26" s="36" t="s">
        <v>35</v>
      </c>
      <c r="E26" s="12"/>
    </row>
    <row r="27" spans="1:5" s="2" customFormat="1" ht="31.9" customHeight="1" thickBot="1">
      <c r="A27" s="34" t="str">
        <f>IF(LEFT(B27,2)="No",-0.1,IF(LEFT(B27,7)="Partial",0.01,IF(LEFT(B27,4)="Full",0.03,IF(LEFT(B27,5)="Extra",0.05,"n/a"))))</f>
        <v>n/a</v>
      </c>
      <c r="B27" s="35"/>
      <c r="C27" s="37" t="s">
        <v>31</v>
      </c>
      <c r="E27" s="11"/>
    </row>
    <row r="28" spans="1:5" s="2" customFormat="1" ht="31.5" thickBot="1">
      <c r="A28" s="34" t="str">
        <f>IF(LEFT(B28,2)="No",-0.1,IF(LEFT(B28,7)="Partial",0.01,IF(LEFT(B28,4)="Full",0.03,IF(LEFT(B28,5)="Extra",0.05,"n/a"))))</f>
        <v>n/a</v>
      </c>
      <c r="B28" s="35"/>
      <c r="C28" s="37" t="s">
        <v>34</v>
      </c>
      <c r="E28" s="12"/>
    </row>
    <row r="29" spans="1:5" s="2" customFormat="1" ht="31.5" thickBot="1">
      <c r="A29" s="34" t="str">
        <f>IF(LEFT(B29,2)="No",-0.1,IF(LEFT(B29,7)="Partial",0.01,IF(LEFT(B29,4)="Full",0.03,IF(LEFT(B29,5)="Extra",0.05,"n/a"))))</f>
        <v>n/a</v>
      </c>
      <c r="B29" s="35"/>
      <c r="C29" s="37" t="s">
        <v>33</v>
      </c>
      <c r="E29" s="12"/>
    </row>
    <row r="30" spans="1:5" ht="8.1" customHeight="1" thickBot="1">
      <c r="E30" s="12"/>
    </row>
    <row r="31" spans="1:5" s="19" customFormat="1" ht="36.9" thickBot="1">
      <c r="A31" s="34" t="str">
        <f>IF(LEFT(B31,3)="Not",-0.1,IF(LEFT(B31,6)="Target",0.01,IF(LEFT(B31,6)="Second",0.03,IF(LEFT(B31,5)="First",0.05,"n/a"))))</f>
        <v>n/a</v>
      </c>
      <c r="B31" s="35"/>
      <c r="C31" s="36" t="s">
        <v>11</v>
      </c>
      <c r="E31" s="20"/>
    </row>
    <row r="32" spans="1:5" s="2" customFormat="1" ht="31.5" thickBot="1">
      <c r="A32" s="34" t="str">
        <f>IF(LEFT(B32,2)="No",-0.1,IF(LEFT(B32,7)="Partial",0.01,IF(LEFT(B32,4)="Full",0.03,IF(LEFT(B32,5)="Extra",0.05,"n/a"))))</f>
        <v>n/a</v>
      </c>
      <c r="B32" s="35"/>
      <c r="C32" s="37" t="s">
        <v>12</v>
      </c>
      <c r="E32" s="12"/>
    </row>
    <row r="33" spans="1:5" s="2" customFormat="1" ht="31.5" thickBot="1">
      <c r="A33" s="34" t="str">
        <f>IF(LEFT(B33,2)="No",-0.1,IF(LEFT(B33,7)="Partial",0.01,IF(LEFT(B33,4)="Full",0.03,IF(LEFT(B33,5)="Extra",0.05,"n/a"))))</f>
        <v>n/a</v>
      </c>
      <c r="B33" s="35"/>
      <c r="C33" s="37" t="s">
        <v>32</v>
      </c>
      <c r="E33" s="12"/>
    </row>
    <row r="34" spans="1:5" ht="31.5" thickBot="1">
      <c r="A34" s="34" t="str">
        <f>IF(LEFT(B34,2)="No",-0.1,IF(LEFT(B34,7)="Partial",0.01,IF(LEFT(B34,4)="Full",0.03,IF(LEFT(B34,5)="Extra",0.05,"n/a"))))</f>
        <v>n/a</v>
      </c>
      <c r="B34" s="35"/>
      <c r="C34" s="39" t="s">
        <v>13</v>
      </c>
      <c r="E34" s="12"/>
    </row>
    <row r="35" spans="1:5" ht="15.9" thickBot="1"/>
    <row r="36" spans="1:5" ht="36.9" thickBot="1">
      <c r="A36" s="34" t="str">
        <f>IF(LEFT(B36,5)="Small",0.01,IF(LEFT(B36,3)="Big",0.03,IF(LEFT(B36,4)="Lots",0.05,"n/a")))</f>
        <v>n/a</v>
      </c>
      <c r="B36" s="35"/>
      <c r="C36" s="36" t="s">
        <v>14</v>
      </c>
    </row>
    <row r="37" spans="1:5" ht="64.150000000000006" customHeight="1" thickBot="1">
      <c r="A37" s="45"/>
      <c r="B37" s="46"/>
      <c r="C37" s="47"/>
      <c r="E37" s="1"/>
    </row>
    <row r="38" spans="1:5">
      <c r="E38" s="1"/>
    </row>
    <row r="39" spans="1:5">
      <c r="E39" s="1"/>
    </row>
    <row r="40" spans="1:5">
      <c r="E40" s="1"/>
    </row>
    <row r="41" spans="1:5">
      <c r="E41" s="1"/>
    </row>
    <row r="42" spans="1:5">
      <c r="E42" s="1"/>
    </row>
  </sheetData>
  <mergeCells count="2">
    <mergeCell ref="A3:B5"/>
    <mergeCell ref="A37:C37"/>
  </mergeCells>
  <conditionalFormatting sqref="A1">
    <cfRule type="colorScale" priority="95">
      <colorScale>
        <cfvo type="num" val="0.4"/>
        <cfvo type="num" val="0.65"/>
        <cfvo type="num" val="0.9"/>
        <color rgb="FFC00000"/>
        <color theme="7" tint="0.39997558519241921"/>
        <color theme="9"/>
      </colorScale>
    </cfRule>
  </conditionalFormatting>
  <conditionalFormatting sqref="A2">
    <cfRule type="colorScale" priority="96">
      <colorScale>
        <cfvo type="num" val="0.5"/>
        <cfvo type="num" val="0.65"/>
        <cfvo type="num" val="0.8"/>
        <color rgb="FFC00000"/>
        <color theme="7" tint="0.39997558519241921"/>
        <color theme="9"/>
      </colorScale>
    </cfRule>
  </conditionalFormatting>
  <conditionalFormatting sqref="B6:B9 B1:B2 A3 B38:B1048576">
    <cfRule type="beginsWith" dxfId="71" priority="97" stopIfTrue="1" operator="beginsWith" text="Extra">
      <formula>LEFT(A1,LEN("Extra"))="Extra"</formula>
    </cfRule>
  </conditionalFormatting>
  <conditionalFormatting sqref="B6:B9">
    <cfRule type="beginsWith" dxfId="70" priority="89" stopIfTrue="1" operator="beginsWith" text="No Progress">
      <formula>LEFT(B6,LEN("No Progress"))="No Progress"</formula>
    </cfRule>
    <cfRule type="beginsWith" dxfId="69" priority="98" stopIfTrue="1" operator="beginsWith" text="Lots">
      <formula>LEFT(B6,LEN("Lots"))="Lots"</formula>
    </cfRule>
    <cfRule type="endsWith" dxfId="68" priority="94" stopIfTrue="1" operator="endsWith" text="Met">
      <formula>RIGHT(B6,LEN("Met"))="Met"</formula>
    </cfRule>
    <cfRule type="beginsWith" dxfId="67" priority="93" stopIfTrue="1" operator="beginsWith" text="Big">
      <formula>LEFT(B6,LEN("Big"))="Big"</formula>
    </cfRule>
    <cfRule type="beginsWith" dxfId="66" priority="92" stopIfTrue="1" operator="beginsWith" text="Full">
      <formula>LEFT(B6,LEN("Full"))="Full"</formula>
    </cfRule>
    <cfRule type="beginsWith" dxfId="65" priority="91" stopIfTrue="1" operator="beginsWith" text="Some">
      <formula>LEFT(B6,LEN("Some"))="Some"</formula>
    </cfRule>
    <cfRule type="beginsWith" dxfId="64" priority="90" stopIfTrue="1" operator="beginsWith" text="Small">
      <formula>LEFT(B6,LEN("Small"))="Small"</formula>
    </cfRule>
    <cfRule type="beginsWith" dxfId="63" priority="88" stopIfTrue="1" operator="beginsWith" text="Partial">
      <formula>LEFT(B6,LEN("Partial"))="Partial"</formula>
    </cfRule>
    <cfRule type="endsWith" dxfId="62" priority="87" stopIfTrue="1" operator="endsWith" text="Missed">
      <formula>RIGHT(B6,LEN("Missed"))="Missed"</formula>
    </cfRule>
    <cfRule type="beginsWith" dxfId="61" priority="86" stopIfTrue="1" operator="beginsWith" text="Not">
      <formula>LEFT(B6,LEN("Not"))="Not"</formula>
    </cfRule>
    <cfRule type="beginsWith" dxfId="60" priority="85" stopIfTrue="1" operator="beginsWith" text="No Credit">
      <formula>LEFT(B6,LEN("No Credit"))="No Credit"</formula>
    </cfRule>
  </conditionalFormatting>
  <conditionalFormatting sqref="B11:B14 B26:B29">
    <cfRule type="beginsWith" dxfId="59" priority="83" stopIfTrue="1" operator="beginsWith" text="Extra">
      <formula>LEFT(B11,LEN("Extra"))="Extra"</formula>
    </cfRule>
    <cfRule type="endsWith" dxfId="58" priority="82" stopIfTrue="1" operator="endsWith" text="Met">
      <formula>RIGHT(B11,LEN("Met"))="Met"</formula>
    </cfRule>
    <cfRule type="beginsWith" dxfId="57" priority="81" stopIfTrue="1" operator="beginsWith" text="Big">
      <formula>LEFT(B11,LEN("Big"))="Big"</formula>
    </cfRule>
    <cfRule type="beginsWith" dxfId="56" priority="79" stopIfTrue="1" operator="beginsWith" text="Some">
      <formula>LEFT(B11,LEN("Some"))="Some"</formula>
    </cfRule>
    <cfRule type="beginsWith" dxfId="55" priority="78" stopIfTrue="1" operator="beginsWith" text="Small">
      <formula>LEFT(B11,LEN("Small"))="Small"</formula>
    </cfRule>
    <cfRule type="beginsWith" dxfId="54" priority="77" stopIfTrue="1" operator="beginsWith" text="No Progress">
      <formula>LEFT(B11,LEN("No Progress"))="No Progress"</formula>
    </cfRule>
    <cfRule type="beginsWith" dxfId="53" priority="76" stopIfTrue="1" operator="beginsWith" text="Partial">
      <formula>LEFT(B11,LEN("Partial"))="Partial"</formula>
    </cfRule>
    <cfRule type="endsWith" dxfId="52" priority="75" stopIfTrue="1" operator="endsWith" text="Missed">
      <formula>RIGHT(B11,LEN("Missed"))="Missed"</formula>
    </cfRule>
    <cfRule type="beginsWith" dxfId="51" priority="74" stopIfTrue="1" operator="beginsWith" text="Not">
      <formula>LEFT(B11,LEN("Not"))="Not"</formula>
    </cfRule>
    <cfRule type="beginsWith" dxfId="50" priority="73" stopIfTrue="1" operator="beginsWith" text="No Credit">
      <formula>LEFT(B11,LEN("No Credit"))="No Credit"</formula>
    </cfRule>
    <cfRule type="beginsWith" dxfId="49" priority="80" stopIfTrue="1" operator="beginsWith" text="Full">
      <formula>LEFT(B11,LEN("Full"))="Full"</formula>
    </cfRule>
    <cfRule type="beginsWith" dxfId="48" priority="84" stopIfTrue="1" operator="beginsWith" text="Lots">
      <formula>LEFT(B11,LEN("Lots"))="Lots"</formula>
    </cfRule>
  </conditionalFormatting>
  <conditionalFormatting sqref="B16:B19">
    <cfRule type="beginsWith" dxfId="47" priority="1" stopIfTrue="1" operator="beginsWith" text="No Credit">
      <formula>LEFT(B16,LEN("No Credit"))="No Credit"</formula>
    </cfRule>
    <cfRule type="beginsWith" dxfId="46" priority="2" stopIfTrue="1" operator="beginsWith" text="Not">
      <formula>LEFT(B16,LEN("Not"))="Not"</formula>
    </cfRule>
    <cfRule type="endsWith" dxfId="45" priority="3" stopIfTrue="1" operator="endsWith" text="Missed">
      <formula>RIGHT(B16,LEN("Missed"))="Missed"</formula>
    </cfRule>
    <cfRule type="beginsWith" dxfId="44" priority="4" stopIfTrue="1" operator="beginsWith" text="Partial">
      <formula>LEFT(B16,LEN("Partial"))="Partial"</formula>
    </cfRule>
    <cfRule type="beginsWith" dxfId="43" priority="5" stopIfTrue="1" operator="beginsWith" text="No Progress">
      <formula>LEFT(B16,LEN("No Progress"))="No Progress"</formula>
    </cfRule>
    <cfRule type="beginsWith" dxfId="42" priority="6" stopIfTrue="1" operator="beginsWith" text="Small">
      <formula>LEFT(B16,LEN("Small"))="Small"</formula>
    </cfRule>
    <cfRule type="beginsWith" dxfId="41" priority="7" stopIfTrue="1" operator="beginsWith" text="Some">
      <formula>LEFT(B16,LEN("Some"))="Some"</formula>
    </cfRule>
    <cfRule type="beginsWith" dxfId="40" priority="8" stopIfTrue="1" operator="beginsWith" text="Full">
      <formula>LEFT(B16,LEN("Full"))="Full"</formula>
    </cfRule>
    <cfRule type="beginsWith" dxfId="39" priority="9" stopIfTrue="1" operator="beginsWith" text="Big">
      <formula>LEFT(B16,LEN("Big"))="Big"</formula>
    </cfRule>
    <cfRule type="beginsWith" dxfId="38" priority="11" stopIfTrue="1" operator="beginsWith" text="Extra">
      <formula>LEFT(B16,LEN("Extra"))="Extra"</formula>
    </cfRule>
    <cfRule type="beginsWith" dxfId="37" priority="12" stopIfTrue="1" operator="beginsWith" text="Lots">
      <formula>LEFT(B16,LEN("Lots"))="Lots"</formula>
    </cfRule>
    <cfRule type="endsWith" dxfId="36" priority="10" stopIfTrue="1" operator="endsWith" text="Met">
      <formula>RIGHT(B16,LEN("Met"))="Met"</formula>
    </cfRule>
  </conditionalFormatting>
  <conditionalFormatting sqref="B21:B24">
    <cfRule type="endsWith" dxfId="35" priority="51" stopIfTrue="1" operator="endsWith" text="Missed">
      <formula>RIGHT(B21,LEN("Missed"))="Missed"</formula>
    </cfRule>
    <cfRule type="beginsWith" dxfId="34" priority="52" stopIfTrue="1" operator="beginsWith" text="Partial">
      <formula>LEFT(B21,LEN("Partial"))="Partial"</formula>
    </cfRule>
    <cfRule type="beginsWith" dxfId="33" priority="53" stopIfTrue="1" operator="beginsWith" text="No Progress">
      <formula>LEFT(B21,LEN("No Progress"))="No Progress"</formula>
    </cfRule>
    <cfRule type="beginsWith" dxfId="32" priority="54" stopIfTrue="1" operator="beginsWith" text="Small">
      <formula>LEFT(B21,LEN("Small"))="Small"</formula>
    </cfRule>
    <cfRule type="beginsWith" dxfId="31" priority="55" stopIfTrue="1" operator="beginsWith" text="Some">
      <formula>LEFT(B21,LEN("Some"))="Some"</formula>
    </cfRule>
    <cfRule type="beginsWith" dxfId="30" priority="56" stopIfTrue="1" operator="beginsWith" text="Full">
      <formula>LEFT(B21,LEN("Full"))="Full"</formula>
    </cfRule>
    <cfRule type="beginsWith" dxfId="29" priority="57" stopIfTrue="1" operator="beginsWith" text="Big">
      <formula>LEFT(B21,LEN("Big"))="Big"</formula>
    </cfRule>
    <cfRule type="endsWith" dxfId="28" priority="58" stopIfTrue="1" operator="endsWith" text="Met">
      <formula>RIGHT(B21,LEN("Met"))="Met"</formula>
    </cfRule>
    <cfRule type="beginsWith" dxfId="27" priority="50" stopIfTrue="1" operator="beginsWith" text="Not">
      <formula>LEFT(B21,LEN("Not"))="Not"</formula>
    </cfRule>
    <cfRule type="beginsWith" dxfId="26" priority="60" stopIfTrue="1" operator="beginsWith" text="Lots">
      <formula>LEFT(B21,LEN("Lots"))="Lots"</formula>
    </cfRule>
    <cfRule type="beginsWith" dxfId="25" priority="49" stopIfTrue="1" operator="beginsWith" text="No Credit">
      <formula>LEFT(B21,LEN("No Credit"))="No Credit"</formula>
    </cfRule>
    <cfRule type="beginsWith" dxfId="24" priority="59" stopIfTrue="1" operator="beginsWith" text="Extra">
      <formula>LEFT(B21,LEN("Extra"))="Extra"</formula>
    </cfRule>
  </conditionalFormatting>
  <conditionalFormatting sqref="B31:B34">
    <cfRule type="beginsWith" dxfId="23" priority="29" stopIfTrue="1" operator="beginsWith" text="No Progress">
      <formula>LEFT(B31,LEN("No Progress"))="No Progress"</formula>
    </cfRule>
    <cfRule type="beginsWith" dxfId="22" priority="36" stopIfTrue="1" operator="beginsWith" text="Lots">
      <formula>LEFT(B31,LEN("Lots"))="Lots"</formula>
    </cfRule>
    <cfRule type="beginsWith" dxfId="21" priority="35" stopIfTrue="1" operator="beginsWith" text="Extra">
      <formula>LEFT(B31,LEN("Extra"))="Extra"</formula>
    </cfRule>
    <cfRule type="endsWith" dxfId="20" priority="34" stopIfTrue="1" operator="endsWith" text="Met">
      <formula>RIGHT(B31,LEN("Met"))="Met"</formula>
    </cfRule>
    <cfRule type="beginsWith" dxfId="19" priority="33" stopIfTrue="1" operator="beginsWith" text="Big">
      <formula>LEFT(B31,LEN("Big"))="Big"</formula>
    </cfRule>
    <cfRule type="beginsWith" dxfId="18" priority="32" stopIfTrue="1" operator="beginsWith" text="Full">
      <formula>LEFT(B31,LEN("Full"))="Full"</formula>
    </cfRule>
    <cfRule type="beginsWith" dxfId="17" priority="31" stopIfTrue="1" operator="beginsWith" text="Some">
      <formula>LEFT(B31,LEN("Some"))="Some"</formula>
    </cfRule>
    <cfRule type="beginsWith" dxfId="16" priority="30" stopIfTrue="1" operator="beginsWith" text="Small">
      <formula>LEFT(B31,LEN("Small"))="Small"</formula>
    </cfRule>
    <cfRule type="endsWith" dxfId="15" priority="27" stopIfTrue="1" operator="endsWith" text="Missed">
      <formula>RIGHT(B31,LEN("Missed"))="Missed"</formula>
    </cfRule>
    <cfRule type="beginsWith" dxfId="14" priority="26" stopIfTrue="1" operator="beginsWith" text="Not">
      <formula>LEFT(B31,LEN("Not"))="Not"</formula>
    </cfRule>
    <cfRule type="beginsWith" dxfId="13" priority="25" stopIfTrue="1" operator="beginsWith" text="No Credit">
      <formula>LEFT(B31,LEN("No Credit"))="No Credit"</formula>
    </cfRule>
    <cfRule type="beginsWith" dxfId="12" priority="28" stopIfTrue="1" operator="beginsWith" text="Partial">
      <formula>LEFT(B31,LEN("Partial"))="Partial"</formula>
    </cfRule>
  </conditionalFormatting>
  <conditionalFormatting sqref="B36">
    <cfRule type="beginsWith" dxfId="11" priority="24" stopIfTrue="1" operator="beginsWith" text="Lots">
      <formula>LEFT(B36,LEN("Lots"))="Lots"</formula>
    </cfRule>
    <cfRule type="beginsWith" dxfId="10" priority="23" stopIfTrue="1" operator="beginsWith" text="Extra">
      <formula>LEFT(B36,LEN("Extra"))="Extra"</formula>
    </cfRule>
    <cfRule type="endsWith" dxfId="9" priority="22" stopIfTrue="1" operator="endsWith" text="Met">
      <formula>RIGHT(B36,LEN("Met"))="Met"</formula>
    </cfRule>
    <cfRule type="beginsWith" dxfId="8" priority="21" stopIfTrue="1" operator="beginsWith" text="Big">
      <formula>LEFT(B36,LEN("Big"))="Big"</formula>
    </cfRule>
    <cfRule type="beginsWith" dxfId="7" priority="20" stopIfTrue="1" operator="beginsWith" text="Full">
      <formula>LEFT(B36,LEN("Full"))="Full"</formula>
    </cfRule>
    <cfRule type="beginsWith" dxfId="6" priority="19" stopIfTrue="1" operator="beginsWith" text="Some">
      <formula>LEFT(B36,LEN("Some"))="Some"</formula>
    </cfRule>
    <cfRule type="beginsWith" dxfId="5" priority="18" stopIfTrue="1" operator="beginsWith" text="Small">
      <formula>LEFT(B36,LEN("Small"))="Small"</formula>
    </cfRule>
    <cfRule type="beginsWith" dxfId="4" priority="17" stopIfTrue="1" operator="beginsWith" text="No Progress">
      <formula>LEFT(B36,LEN("No Progress"))="No Progress"</formula>
    </cfRule>
    <cfRule type="beginsWith" dxfId="3" priority="16" stopIfTrue="1" operator="beginsWith" text="Partial">
      <formula>LEFT(B36,LEN("Partial"))="Partial"</formula>
    </cfRule>
    <cfRule type="endsWith" dxfId="2" priority="15" stopIfTrue="1" operator="endsWith" text="Missed">
      <formula>RIGHT(B36,LEN("Missed"))="Missed"</formula>
    </cfRule>
    <cfRule type="beginsWith" dxfId="1" priority="14" stopIfTrue="1" operator="beginsWith" text="Not">
      <formula>LEFT(B36,LEN("Not"))="Not"</formula>
    </cfRule>
    <cfRule type="beginsWith" dxfId="0" priority="13" stopIfTrue="1" operator="beginsWith" text="No Credit">
      <formula>LEFT(B36,LEN("No Credit"))="No Credit"</formula>
    </cfRule>
  </conditionalFormatting>
  <dataValidations count="5">
    <dataValidation type="list" allowBlank="1" showInputMessage="1" showErrorMessage="1" sqref="B36" xr:uid="{D54A9AC6-6C90-4EBF-BD53-532A2BB84333}">
      <formula1>"Small Thing,Big Thing,Lots of Things"</formula1>
    </dataValidation>
    <dataValidation type="list" allowBlank="1" showInputMessage="1" showErrorMessage="1" sqref="B31" xr:uid="{5F7820BB-5CEB-4372-9D98-7B0054D93701}">
      <formula1>"Not Checked,Target Missed,Second Hour,First Hour"</formula1>
    </dataValidation>
    <dataValidation type="list" allowBlank="1" showInputMessage="1" showErrorMessage="1" sqref="B6 B11 B16 B21 B26" xr:uid="{C56A4067-BDC0-435F-BAF9-B334FB823CE7}">
      <formula1>"Not Checked,No Progress,Some Progress,Target Met"</formula1>
    </dataValidation>
    <dataValidation type="list" allowBlank="1" showInputMessage="1" showErrorMessage="1" sqref="B7:B9 B12:B14 B32:B33 B17:B19 B22:B24 B27:B29" xr:uid="{6EC922D2-C8B6-43EF-8A42-B4025B4BADDB}">
      <formula1>"No Credit,Partial Credit,Full Credit,Extra Credit"</formula1>
    </dataValidation>
    <dataValidation type="list" allowBlank="1" showInputMessage="1" showErrorMessage="1" sqref="B34" xr:uid="{D899E022-03CA-43C4-A3BB-7D7D7EB5BD5D}">
      <formula1>"No Credit,Partial Credit,Full Credit"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2E6A-0D51-4D50-A1BC-AE4071052ED9}">
  <dimension ref="A1:A50"/>
  <sheetViews>
    <sheetView workbookViewId="0">
      <selection activeCell="A2" sqref="A2"/>
    </sheetView>
  </sheetViews>
  <sheetFormatPr defaultRowHeight="14.4"/>
  <cols>
    <col min="1" max="1" width="89.68359375" customWidth="1"/>
  </cols>
  <sheetData>
    <row r="1" spans="1:1" ht="23.4" thickBot="1">
      <c r="A1" s="6" t="s">
        <v>0</v>
      </c>
    </row>
    <row r="2" spans="1:1" s="7" customFormat="1" ht="15.9" thickBot="1">
      <c r="A2" s="8" t="str">
        <f>IF(LEN(A3) &gt; 2000,"-----",IF(LEN(A3) &gt; 1000,"---",IF(LEN(A3) &gt; 500,"You need more post-mortem reflection.",IF(A3&gt;0,"You need A LOT MORE post-mortem reflection.","How did the project go? What did you learn? What could you improve?"))))</f>
        <v>How did the project go? What did you learn? What could you improve?</v>
      </c>
    </row>
    <row r="3" spans="1:1" ht="409.5" customHeight="1">
      <c r="A3" s="48"/>
    </row>
    <row r="4" spans="1:1">
      <c r="A4" s="49"/>
    </row>
    <row r="5" spans="1:1">
      <c r="A5" s="49"/>
    </row>
    <row r="6" spans="1:1">
      <c r="A6" s="49"/>
    </row>
    <row r="7" spans="1:1">
      <c r="A7" s="49"/>
    </row>
    <row r="8" spans="1:1">
      <c r="A8" s="49"/>
    </row>
    <row r="9" spans="1:1">
      <c r="A9" s="49"/>
    </row>
    <row r="10" spans="1:1">
      <c r="A10" s="49"/>
    </row>
    <row r="11" spans="1:1">
      <c r="A11" s="49"/>
    </row>
    <row r="12" spans="1:1">
      <c r="A12" s="49"/>
    </row>
    <row r="13" spans="1:1">
      <c r="A13" s="49"/>
    </row>
    <row r="14" spans="1:1">
      <c r="A14" s="49"/>
    </row>
    <row r="15" spans="1:1">
      <c r="A15" s="49"/>
    </row>
    <row r="16" spans="1:1">
      <c r="A16" s="49"/>
    </row>
    <row r="17" spans="1:1">
      <c r="A17" s="49"/>
    </row>
    <row r="18" spans="1:1">
      <c r="A18" s="49"/>
    </row>
    <row r="19" spans="1:1">
      <c r="A19" s="49"/>
    </row>
    <row r="20" spans="1:1">
      <c r="A20" s="49"/>
    </row>
    <row r="21" spans="1:1">
      <c r="A21" s="49"/>
    </row>
    <row r="22" spans="1:1">
      <c r="A22" s="49"/>
    </row>
    <row r="23" spans="1:1">
      <c r="A23" s="49"/>
    </row>
    <row r="24" spans="1:1">
      <c r="A24" s="49"/>
    </row>
    <row r="25" spans="1:1">
      <c r="A25" s="49"/>
    </row>
    <row r="26" spans="1:1">
      <c r="A26" s="49"/>
    </row>
    <row r="27" spans="1:1">
      <c r="A27" s="49"/>
    </row>
    <row r="28" spans="1:1">
      <c r="A28" s="49"/>
    </row>
    <row r="29" spans="1:1">
      <c r="A29" s="49"/>
    </row>
    <row r="30" spans="1:1">
      <c r="A30" s="49"/>
    </row>
    <row r="31" spans="1:1">
      <c r="A31" s="49"/>
    </row>
    <row r="32" spans="1:1">
      <c r="A32" s="49"/>
    </row>
    <row r="33" spans="1:1">
      <c r="A33" s="49"/>
    </row>
    <row r="34" spans="1:1">
      <c r="A34" s="49"/>
    </row>
    <row r="35" spans="1:1">
      <c r="A35" s="49"/>
    </row>
    <row r="36" spans="1:1">
      <c r="A36" s="49"/>
    </row>
    <row r="37" spans="1:1">
      <c r="A37" s="49"/>
    </row>
    <row r="38" spans="1:1">
      <c r="A38" s="49"/>
    </row>
    <row r="39" spans="1:1">
      <c r="A39" s="49"/>
    </row>
    <row r="40" spans="1:1">
      <c r="A40" s="49"/>
    </row>
    <row r="41" spans="1:1">
      <c r="A41" s="49"/>
    </row>
    <row r="42" spans="1:1">
      <c r="A42" s="49"/>
    </row>
    <row r="43" spans="1:1">
      <c r="A43" s="49"/>
    </row>
    <row r="44" spans="1:1">
      <c r="A44" s="49"/>
    </row>
    <row r="45" spans="1:1">
      <c r="A45" s="49"/>
    </row>
    <row r="46" spans="1:1">
      <c r="A46" s="49"/>
    </row>
    <row r="47" spans="1:1">
      <c r="A47" s="49"/>
    </row>
    <row r="48" spans="1:1">
      <c r="A48" s="49"/>
    </row>
    <row r="49" spans="1:1">
      <c r="A49" s="49"/>
    </row>
    <row r="50" spans="1:1">
      <c r="A50" s="49"/>
    </row>
  </sheetData>
  <mergeCells count="1">
    <mergeCell ref="A3:A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858F-6F0E-43D3-8CF7-72607D7D12BD}">
  <dimension ref="A1:M4"/>
  <sheetViews>
    <sheetView workbookViewId="0">
      <selection activeCell="A5" sqref="A5"/>
    </sheetView>
  </sheetViews>
  <sheetFormatPr defaultColWidth="8.83984375" defaultRowHeight="15.6"/>
  <cols>
    <col min="1" max="2" width="10.68359375" style="22" customWidth="1"/>
    <col min="3" max="3" width="30.578125" style="1" customWidth="1"/>
    <col min="4" max="7" width="8.83984375" style="22"/>
    <col min="8" max="8" width="8.83984375" style="23"/>
    <col min="9" max="9" width="11.578125" style="22" customWidth="1"/>
    <col min="10" max="13" width="11.578125" style="23" customWidth="1"/>
    <col min="14" max="16384" width="8.83984375" style="1"/>
  </cols>
  <sheetData>
    <row r="1" spans="1:13" s="3" customFormat="1" ht="23.1">
      <c r="A1" s="50" t="s">
        <v>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3" s="26" customFormat="1">
      <c r="A2" s="24" t="s">
        <v>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>
      <c r="A3" s="31" t="s">
        <v>6</v>
      </c>
    </row>
    <row r="4" spans="1:13">
      <c r="A4" s="31" t="s">
        <v>36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06A3-3058-4E5E-8648-85AEA2F13214}">
  <dimension ref="A1:A2"/>
  <sheetViews>
    <sheetView workbookViewId="0">
      <selection activeCell="A2" sqref="A2"/>
    </sheetView>
  </sheetViews>
  <sheetFormatPr defaultColWidth="9.05078125" defaultRowHeight="14.4"/>
  <cols>
    <col min="1" max="1" width="172.7890625" style="29" customWidth="1"/>
    <col min="2" max="16384" width="9.05078125" style="28"/>
  </cols>
  <sheetData>
    <row r="1" spans="1:1" ht="23.1">
      <c r="A1" s="27" t="s">
        <v>3</v>
      </c>
    </row>
    <row r="2" spans="1:1">
      <c r="A2" s="30" t="s">
        <v>4</v>
      </c>
    </row>
  </sheetData>
  <dataValidations count="1">
    <dataValidation type="list" allowBlank="1" showInputMessage="1" showErrorMessage="1" sqref="A3" xr:uid="{BDA3E28D-9CA2-4C11-BA20-5C2D734C54D6}">
      <formula1>"Lab A Goals Met,Lab B Goals Met,Lab C Goals Met,Lab D Goals Met, Lab E Goals Met"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</vt:lpstr>
      <vt:lpstr>Post-Mortem</vt:lpstr>
      <vt:lpstr>Telemetry Data</vt:lpstr>
      <vt:lpstr>Code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Ellinger</dc:creator>
  <cp:lastModifiedBy>Gary Yang</cp:lastModifiedBy>
  <dcterms:created xsi:type="dcterms:W3CDTF">2015-06-05T18:17:20Z</dcterms:created>
  <dcterms:modified xsi:type="dcterms:W3CDTF">2026-01-28T02:53:46Z</dcterms:modified>
</cp:coreProperties>
</file>