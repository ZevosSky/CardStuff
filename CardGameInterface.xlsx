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Gary Yang\Documents\Programing\Unity\CardStuff\"/>
    </mc:Choice>
  </mc:AlternateContent>
  <xr:revisionPtr revIDLastSave="0" documentId="13_ncr:1_{EAEBD0CF-ABC4-4683-8789-551D21C13EBC}" xr6:coauthVersionLast="47" xr6:coauthVersionMax="47" xr10:uidLastSave="{00000000-0000-0000-0000-000000000000}"/>
  <bookViews>
    <workbookView xWindow="-96" yWindow="-96" windowWidth="23232" windowHeight="13872" xr2:uid="{00000000-000D-0000-FFFF-FFFF00000000}"/>
  </bookViews>
  <sheets>
    <sheet name="Requirements" sheetId="22" r:id="rId1"/>
    <sheet name="Post-Mortem" sheetId="18" r:id="rId2"/>
    <sheet name="Telemetry Data" sheetId="19" r:id="rId3"/>
    <sheet name="Code Report"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22" l="1"/>
  <c r="A23" i="22"/>
  <c r="A19" i="22"/>
  <c r="A2" i="18"/>
  <c r="A36" i="22"/>
  <c r="A34" i="22"/>
  <c r="A33" i="22"/>
  <c r="A32" i="22"/>
  <c r="A31" i="22"/>
  <c r="A28" i="22"/>
  <c r="A27" i="22"/>
  <c r="A26" i="22"/>
  <c r="A24" i="22"/>
  <c r="A22" i="22"/>
  <c r="A21" i="22"/>
  <c r="A18" i="22"/>
  <c r="A17" i="22"/>
  <c r="A16" i="22"/>
  <c r="A14" i="22"/>
  <c r="A13" i="22"/>
  <c r="A12" i="22"/>
  <c r="A11" i="22"/>
  <c r="A9" i="22"/>
  <c r="A8" i="22"/>
  <c r="A7" i="22"/>
  <c r="A6" i="22"/>
  <c r="D1" i="22" l="1"/>
  <c r="A1" i="22" s="1"/>
</calcChain>
</file>

<file path=xl/sharedStrings.xml><?xml version="1.0" encoding="utf-8"?>
<sst xmlns="http://schemas.openxmlformats.org/spreadsheetml/2006/main" count="72" uniqueCount="59">
  <si>
    <t>POST-MORTEM (200+ Words)</t>
  </si>
  <si>
    <t>Lecture
Score</t>
  </si>
  <si>
    <t>PROJECT REQUIREMENTS (Card Game Interface)</t>
  </si>
  <si>
    <t>ACTIONLIST, ACTIONS, GAME LOGIC, and MENU CODE</t>
  </si>
  <si>
    <t>Copy all action list, actions, game logic, and menu code into this tab. Format it so that it is decently readable.</t>
  </si>
  <si>
    <t>TELEMETRY DATA</t>
  </si>
  <si>
    <t>Include data that counts the number of times the ESC menu was activated and the counts for each option.</t>
  </si>
  <si>
    <t>Include data about cards played, hands won, and other appropriate game logic data for more elaborate rules.</t>
  </si>
  <si>
    <t>Grade</t>
  </si>
  <si>
    <t>Lecture score below
70% reduces the
project grade.</t>
  </si>
  <si>
    <t>Each requirement below receives a score of “No Credit” (completely or half missing, -10%), “Partial Credit” (more than half completed, +1%), “Full Credit” (fully completed, +3%), or "Extra Credit" (high quality or interesting, +5%).</t>
  </si>
  <si>
    <r>
      <t>Check-In 1F: Project Submission</t>
    </r>
    <r>
      <rPr>
        <sz val="14"/>
        <color theme="0"/>
        <rFont val="Calibri"/>
        <family val="2"/>
        <scheme val="minor"/>
      </rPr>
      <t xml:space="preserve"> (target is 70%+ project grade)</t>
    </r>
    <r>
      <rPr>
        <b/>
        <sz val="14"/>
        <color theme="0"/>
        <rFont val="Calibri"/>
        <family val="2"/>
        <scheme val="minor"/>
      </rPr>
      <t xml:space="preserve">
</t>
    </r>
    <r>
      <rPr>
        <i/>
        <sz val="14"/>
        <color theme="0"/>
        <rFont val="Calibri"/>
        <family val="2"/>
        <scheme val="minor"/>
      </rPr>
      <t>+5% for "First Hour", +3% for "Second Hour", +1% for "Target Missed", -10% for "Not Checked")</t>
    </r>
  </si>
  <si>
    <r>
      <t xml:space="preserve">· </t>
    </r>
    <r>
      <rPr>
        <b/>
        <sz val="12"/>
        <color theme="1"/>
        <rFont val="Calibri"/>
        <family val="2"/>
        <scheme val="minor"/>
      </rPr>
      <t>Post-Mortem:</t>
    </r>
    <r>
      <rPr>
        <sz val="12"/>
        <color theme="1"/>
        <rFont val="Calibri"/>
        <family val="2"/>
        <scheme val="minor"/>
      </rPr>
      <t xml:space="preserve"> 200+ words (in the post-mortem tab) that reflects on how the project went, what you learned, what you could improve, etc. </t>
    </r>
    <r>
      <rPr>
        <b/>
        <i/>
        <sz val="12"/>
        <color theme="1"/>
        <rFont val="Calibri"/>
        <family val="2"/>
        <scheme val="minor"/>
      </rPr>
      <t>Extra credit</t>
    </r>
    <r>
      <rPr>
        <sz val="12"/>
        <color theme="1"/>
        <rFont val="Calibri"/>
        <family val="2"/>
        <scheme val="minor"/>
      </rPr>
      <t xml:space="preserve"> for a lengthy, detailed, and insightful post-mortem.</t>
    </r>
  </si>
  <si>
    <r>
      <rPr>
        <sz val="12"/>
        <color theme="1"/>
        <rFont val="Symbol"/>
        <family val="1"/>
        <charset val="2"/>
      </rPr>
      <t>·</t>
    </r>
    <r>
      <rPr>
        <sz val="12"/>
        <color theme="1"/>
        <rFont val="Calibri"/>
        <family val="2"/>
        <scheme val="minor"/>
      </rPr>
      <t xml:space="preserve"> </t>
    </r>
    <r>
      <rPr>
        <b/>
        <sz val="12"/>
        <color theme="1"/>
        <rFont val="Calibri"/>
        <family val="2"/>
        <scheme val="minor"/>
      </rPr>
      <t>1 Unzipped Excel File, 1 Zipped Project File, 1 Zipped Archive File</t>
    </r>
    <r>
      <rPr>
        <sz val="12"/>
        <color theme="1"/>
        <rFont val="Calibri"/>
        <family val="2"/>
        <scheme val="minor"/>
      </rPr>
      <t>: This spreadsheet; project file to be unzipped and run (300 MB or less); archive file with source code and assets. DO NOT combine these 3 files into a single zipped file.</t>
    </r>
  </si>
  <si>
    <r>
      <t>Additional Bonuses</t>
    </r>
    <r>
      <rPr>
        <sz val="14"/>
        <color theme="0"/>
        <rFont val="Calibri"/>
        <family val="2"/>
        <scheme val="minor"/>
      </rPr>
      <t xml:space="preserve"> (list anything that might warrant additional bonuses below)</t>
    </r>
    <r>
      <rPr>
        <b/>
        <sz val="14"/>
        <color theme="0"/>
        <rFont val="Calibri"/>
        <family val="2"/>
        <scheme val="minor"/>
      </rPr>
      <t xml:space="preserve">
</t>
    </r>
    <r>
      <rPr>
        <i/>
        <sz val="14"/>
        <color theme="0"/>
        <rFont val="Calibri"/>
        <family val="2"/>
        <scheme val="minor"/>
      </rPr>
      <t>+5% for "Lots of Things", +3% for a "Big Thing", +1% for a "Small Thing")</t>
    </r>
  </si>
  <si>
    <t>Card game interface prototype implemented with a real-time action-based system. It is NOT a game, it is just an interface prototype. Any engine can be used (Unity, Godot, Unreal, custom, etc.) and there is no framework.</t>
  </si>
  <si>
    <r>
      <t>Check-In 1A: Animated Cards</t>
    </r>
    <r>
      <rPr>
        <sz val="14"/>
        <color theme="0"/>
        <rFont val="Calibri"/>
        <family val="2"/>
        <scheme val="minor"/>
      </rPr>
      <t xml:space="preserve"> (target is 2+ requirements)
</t>
    </r>
    <r>
      <rPr>
        <i/>
        <sz val="14"/>
        <color theme="0"/>
        <rFont val="Calibri"/>
        <family val="2"/>
        <scheme val="minor"/>
      </rPr>
      <t>+5% for "Target Met", +3% for "Some Progress", +1% for "No Progress", -10% for "Not Checked"</t>
    </r>
  </si>
  <si>
    <r>
      <t>Check-In 1B: Pseudo Card Game</t>
    </r>
    <r>
      <rPr>
        <sz val="14"/>
        <color theme="0"/>
        <rFont val="Calibri"/>
        <family val="2"/>
        <scheme val="minor"/>
      </rPr>
      <t xml:space="preserve"> (target is 4+ requirements)
</t>
    </r>
    <r>
      <rPr>
        <i/>
        <sz val="14"/>
        <color theme="0"/>
        <rFont val="Calibri"/>
        <family val="2"/>
        <scheme val="minor"/>
      </rPr>
      <t>+5% for "Target Met", +3% for "Some Progress", +1% for "No Progress", -10% for "Not Checked"</t>
    </r>
  </si>
  <si>
    <r>
      <t>·</t>
    </r>
    <r>
      <rPr>
        <sz val="12"/>
        <color theme="1"/>
        <rFont val="Calibri"/>
        <family val="2"/>
        <scheme val="minor"/>
      </rPr>
      <t xml:space="preserve"> </t>
    </r>
    <r>
      <rPr>
        <b/>
        <sz val="12"/>
        <color theme="1"/>
        <rFont val="Calibri"/>
        <family val="2"/>
        <scheme val="minor"/>
      </rPr>
      <t>Move &amp; Rotate:</t>
    </r>
    <r>
      <rPr>
        <sz val="12"/>
        <color theme="1"/>
        <rFont val="Calibri"/>
        <family val="2"/>
        <scheme val="minor"/>
      </rPr>
      <t xml:space="preserve"> A move action and a rotate action that interpolate the position and rotation of any entity over time, starting after a set delay. </t>
    </r>
    <r>
      <rPr>
        <b/>
        <i/>
        <sz val="12"/>
        <color theme="1"/>
        <rFont val="Calibri"/>
        <family val="2"/>
        <scheme val="minor"/>
      </rPr>
      <t>Extra credit</t>
    </r>
    <r>
      <rPr>
        <sz val="12"/>
        <color theme="1"/>
        <rFont val="Calibri"/>
        <family val="2"/>
        <scheme val="minor"/>
      </rPr>
      <t xml:space="preserve"> for three or more additional actions, such as scaling, flipping, callbacks, etc.</t>
    </r>
  </si>
  <si>
    <r>
      <t>·</t>
    </r>
    <r>
      <rPr>
        <sz val="12"/>
        <color theme="1"/>
        <rFont val="Calibri"/>
        <family val="2"/>
        <scheme val="minor"/>
      </rPr>
      <t xml:space="preserve"> </t>
    </r>
    <r>
      <rPr>
        <b/>
        <sz val="12"/>
        <color theme="1"/>
        <rFont val="Calibri"/>
        <family val="2"/>
        <scheme val="minor"/>
      </rPr>
      <t>Action List:</t>
    </r>
    <r>
      <rPr>
        <sz val="12"/>
        <color theme="1"/>
        <rFont val="Calibri"/>
        <family val="2"/>
        <scheme val="minor"/>
      </rPr>
      <t xml:space="preserve"> A working "list" of actions which updates every frame, in order, any actions added to it (deleting actions when they finish). </t>
    </r>
    <r>
      <rPr>
        <b/>
        <i/>
        <sz val="12"/>
        <color theme="1"/>
        <rFont val="Calibri"/>
        <family val="2"/>
        <scheme val="minor"/>
      </rPr>
      <t>Extra credit</t>
    </r>
    <r>
      <rPr>
        <sz val="12"/>
        <color theme="1"/>
        <rFont val="Calibri"/>
        <family val="2"/>
        <scheme val="minor"/>
      </rPr>
      <t xml:space="preserve"> if a method is implemented to group and/or nest multiple actions in a useful way.</t>
    </r>
  </si>
  <si>
    <r>
      <t>·</t>
    </r>
    <r>
      <rPr>
        <sz val="12"/>
        <color theme="1"/>
        <rFont val="Calibri"/>
        <family val="2"/>
        <scheme val="minor"/>
      </rPr>
      <t xml:space="preserve"> </t>
    </r>
    <r>
      <rPr>
        <b/>
        <sz val="12"/>
        <color theme="1"/>
        <rFont val="Calibri"/>
        <family val="2"/>
        <scheme val="minor"/>
      </rPr>
      <t>Animating Cards:</t>
    </r>
    <r>
      <rPr>
        <sz val="12"/>
        <color theme="1"/>
        <rFont val="Calibri"/>
        <family val="2"/>
        <scheme val="minor"/>
      </rPr>
      <t xml:space="preserve"> Multiple cards use actions to move and rotate randomly over and over, pausing for a second or so between movements. </t>
    </r>
    <r>
      <rPr>
        <b/>
        <i/>
        <sz val="12"/>
        <color theme="1"/>
        <rFont val="Calibri"/>
        <family val="2"/>
        <scheme val="minor"/>
      </rPr>
      <t>Extra credit</t>
    </r>
    <r>
      <rPr>
        <sz val="12"/>
        <color theme="1"/>
        <rFont val="Calibri"/>
        <family val="2"/>
        <scheme val="minor"/>
      </rPr>
      <t xml:space="preserve"> for using control features such as complex blocking, reversing, synchronizing, etc.</t>
    </r>
  </si>
  <si>
    <r>
      <t>·</t>
    </r>
    <r>
      <rPr>
        <sz val="12"/>
        <color theme="1"/>
        <rFont val="Calibri"/>
        <family val="2"/>
        <scheme val="minor"/>
      </rPr>
      <t xml:space="preserve"> </t>
    </r>
    <r>
      <rPr>
        <b/>
        <sz val="12"/>
        <color theme="1"/>
        <rFont val="Calibri"/>
        <family val="2"/>
        <scheme val="minor"/>
      </rPr>
      <t xml:space="preserve">Deck of Cards: </t>
    </r>
    <r>
      <rPr>
        <sz val="12"/>
        <color theme="1"/>
        <rFont val="Calibri"/>
        <family val="2"/>
        <scheme val="minor"/>
      </rPr>
      <t xml:space="preserve">30+ unique cards (any suits, numbers, etc. desired), each its own entity, is briefly shuffled using actions. They must look like a deck. </t>
    </r>
    <r>
      <rPr>
        <b/>
        <i/>
        <sz val="12"/>
        <color theme="1"/>
        <rFont val="Calibri"/>
        <family val="2"/>
        <scheme val="minor"/>
      </rPr>
      <t>Extra credit</t>
    </r>
    <r>
      <rPr>
        <sz val="12"/>
        <color theme="1"/>
        <rFont val="Calibri"/>
        <family val="2"/>
        <scheme val="minor"/>
      </rPr>
      <t xml:space="preserve"> for the visuals of the deck and shuffling being sophisticated and well-crafted.</t>
    </r>
  </si>
  <si>
    <r>
      <t>·</t>
    </r>
    <r>
      <rPr>
        <sz val="12"/>
        <color theme="1"/>
        <rFont val="Calibri"/>
        <family val="2"/>
        <scheme val="minor"/>
      </rPr>
      <t xml:space="preserve"> </t>
    </r>
    <r>
      <rPr>
        <b/>
        <sz val="12"/>
        <color theme="1"/>
        <rFont val="Calibri"/>
        <family val="2"/>
        <scheme val="minor"/>
      </rPr>
      <t xml:space="preserve">Hands of Cards: </t>
    </r>
    <r>
      <rPr>
        <sz val="12"/>
        <color theme="1"/>
        <rFont val="Calibri"/>
        <family val="2"/>
        <scheme val="minor"/>
      </rPr>
      <t>Actions are used to deal four or more hands of 7+ cards, evenly spaced around the screen. Only the player's cards are face up.</t>
    </r>
    <r>
      <rPr>
        <b/>
        <i/>
        <sz val="12"/>
        <color theme="1"/>
        <rFont val="Calibri"/>
        <family val="2"/>
        <scheme val="minor"/>
      </rPr>
      <t xml:space="preserve"> Extra credit </t>
    </r>
    <r>
      <rPr>
        <sz val="12"/>
        <color theme="1"/>
        <rFont val="Calibri"/>
        <family val="2"/>
        <scheme val="minor"/>
      </rPr>
      <t>for the visuals of the cards and dealing being sophisticated and well-crafted.</t>
    </r>
  </si>
  <si>
    <r>
      <t>·</t>
    </r>
    <r>
      <rPr>
        <sz val="12"/>
        <color theme="1"/>
        <rFont val="Calibri"/>
        <family val="2"/>
        <scheme val="minor"/>
      </rPr>
      <t xml:space="preserve"> </t>
    </r>
    <r>
      <rPr>
        <b/>
        <sz val="12"/>
        <color theme="1"/>
        <rFont val="Calibri"/>
        <family val="2"/>
        <scheme val="minor"/>
      </rPr>
      <t xml:space="preserve">Playing Cards: </t>
    </r>
    <r>
      <rPr>
        <sz val="12"/>
        <color theme="1"/>
        <rFont val="Calibri"/>
        <family val="2"/>
        <scheme val="minor"/>
      </rPr>
      <t>After dealing, each hand plays one card to the center (in order, face up). Discard the "trick" after a delay. Repeat until out of cards.</t>
    </r>
    <r>
      <rPr>
        <b/>
        <i/>
        <sz val="12"/>
        <color theme="1"/>
        <rFont val="Calibri"/>
        <family val="2"/>
        <scheme val="minor"/>
      </rPr>
      <t xml:space="preserve"> Extra credit </t>
    </r>
    <r>
      <rPr>
        <sz val="12"/>
        <color theme="1"/>
        <rFont val="Calibri"/>
        <family val="2"/>
        <scheme val="minor"/>
      </rPr>
      <t>for a "real" card game, but the other requirements must still be met.</t>
    </r>
  </si>
  <si>
    <r>
      <t xml:space="preserve">· </t>
    </r>
    <r>
      <rPr>
        <b/>
        <sz val="12"/>
        <color theme="1"/>
        <rFont val="Calibri"/>
        <family val="2"/>
        <scheme val="minor"/>
      </rPr>
      <t xml:space="preserve">Eased Actions: </t>
    </r>
    <r>
      <rPr>
        <sz val="12"/>
        <color theme="1"/>
        <rFont val="Calibri"/>
        <family val="2"/>
        <scheme val="minor"/>
      </rPr>
      <t xml:space="preserve">All actions have noticeable non-linear easing that is never jarring, and no entities ever suddenly appear, disappear, or teleport. </t>
    </r>
    <r>
      <rPr>
        <b/>
        <i/>
        <sz val="12"/>
        <color theme="1"/>
        <rFont val="Calibri"/>
        <family val="2"/>
        <scheme val="minor"/>
      </rPr>
      <t>Extra credit</t>
    </r>
    <r>
      <rPr>
        <sz val="12"/>
        <color theme="1"/>
        <rFont val="Calibri"/>
        <family val="2"/>
        <scheme val="minor"/>
      </rPr>
      <t xml:space="preserve"> for well-timed and crafted easing throughout the prototype.</t>
    </r>
  </si>
  <si>
    <r>
      <t xml:space="preserve">· </t>
    </r>
    <r>
      <rPr>
        <b/>
        <sz val="12"/>
        <color theme="1"/>
        <rFont val="Calibri"/>
        <family val="2"/>
        <scheme val="minor"/>
      </rPr>
      <t xml:space="preserve">Organic Adjustments: </t>
    </r>
    <r>
      <rPr>
        <sz val="12"/>
        <color theme="1"/>
        <rFont val="Calibri"/>
        <family val="2"/>
        <scheme val="minor"/>
      </rPr>
      <t xml:space="preserve">Hands of cards have a noticeable curve and procedural adjustments to position and rotation to create a natural appearance. </t>
    </r>
    <r>
      <rPr>
        <b/>
        <i/>
        <sz val="12"/>
        <color theme="1"/>
        <rFont val="Calibri"/>
        <family val="2"/>
        <scheme val="minor"/>
      </rPr>
      <t>Extra credit</t>
    </r>
    <r>
      <rPr>
        <sz val="12"/>
        <color theme="1"/>
        <rFont val="Calibri"/>
        <family val="2"/>
        <scheme val="minor"/>
      </rPr>
      <t xml:space="preserve"> for really well-crafted adjustments to the rotations and positions of the cards.</t>
    </r>
  </si>
  <si>
    <r>
      <t xml:space="preserve">· </t>
    </r>
    <r>
      <rPr>
        <b/>
        <sz val="12"/>
        <color theme="1"/>
        <rFont val="Calibri"/>
        <family val="2"/>
        <scheme val="minor"/>
      </rPr>
      <t xml:space="preserve">Fading UI: </t>
    </r>
    <r>
      <rPr>
        <sz val="12"/>
        <color theme="1"/>
        <rFont val="Calibri"/>
        <family val="2"/>
        <scheme val="minor"/>
      </rPr>
      <t xml:space="preserve">UI elements for player names, player scores, taking tricks, etc. dynamically fade in and out (as appropriate) using actions. </t>
    </r>
    <r>
      <rPr>
        <b/>
        <i/>
        <sz val="12"/>
        <color theme="1"/>
        <rFont val="Calibri"/>
        <family val="2"/>
        <scheme val="minor"/>
      </rPr>
      <t>Extra credit</t>
    </r>
    <r>
      <rPr>
        <sz val="12"/>
        <color theme="1"/>
        <rFont val="Calibri"/>
        <family val="2"/>
        <scheme val="minor"/>
      </rPr>
      <t xml:space="preserve"> for well-crafted UI elements, good placement, and sophisticated movement/fading.</t>
    </r>
  </si>
  <si>
    <r>
      <t>Check-In 1C: Easing and Adjustments</t>
    </r>
    <r>
      <rPr>
        <sz val="14"/>
        <color theme="0"/>
        <rFont val="Calibri"/>
        <family val="2"/>
        <scheme val="minor"/>
      </rPr>
      <t xml:space="preserve"> (target is 6+ requirements)
</t>
    </r>
    <r>
      <rPr>
        <i/>
        <sz val="14"/>
        <color theme="0"/>
        <rFont val="Calibri"/>
        <family val="2"/>
        <scheme val="minor"/>
      </rPr>
      <t>+5% for "Target Met", +3% for "Some Progress", +1% for "No Progress", -10% for "Not Checked"</t>
    </r>
  </si>
  <si>
    <r>
      <t xml:space="preserve">· </t>
    </r>
    <r>
      <rPr>
        <b/>
        <sz val="12"/>
        <color theme="1"/>
        <rFont val="Calibri"/>
        <family val="2"/>
        <scheme val="minor"/>
      </rPr>
      <t xml:space="preserve">Card Playing Adjustments: </t>
    </r>
    <r>
      <rPr>
        <sz val="12"/>
        <color theme="1"/>
        <rFont val="Calibri"/>
        <family val="2"/>
        <scheme val="minor"/>
      </rPr>
      <t xml:space="preserve">The player can click on a card to play it, with the hand readjusting afterwards. Other hands play randomly but also readjust. </t>
    </r>
    <r>
      <rPr>
        <b/>
        <i/>
        <sz val="12"/>
        <color theme="1"/>
        <rFont val="Calibri"/>
        <family val="2"/>
        <scheme val="minor"/>
      </rPr>
      <t>Extra credit</t>
    </r>
    <r>
      <rPr>
        <sz val="12"/>
        <color theme="1"/>
        <rFont val="Calibri"/>
        <family val="2"/>
        <scheme val="minor"/>
      </rPr>
      <t xml:space="preserve"> for well-crafted collection and removal of played cards.</t>
    </r>
  </si>
  <si>
    <r>
      <t>Check-In 1D: Animated Menus and UI</t>
    </r>
    <r>
      <rPr>
        <sz val="14"/>
        <color theme="0"/>
        <rFont val="Calibri"/>
        <family val="2"/>
        <scheme val="minor"/>
      </rPr>
      <t xml:space="preserve"> (target is 8+ requirements)
</t>
    </r>
    <r>
      <rPr>
        <i/>
        <sz val="14"/>
        <color theme="0"/>
        <rFont val="Calibri"/>
        <family val="2"/>
        <scheme val="minor"/>
      </rPr>
      <t>+5% for "Target Met", +3% for "Some Progress", +1% for "No Progress", -10% for "Not Checked"</t>
    </r>
  </si>
  <si>
    <r>
      <t xml:space="preserve">· </t>
    </r>
    <r>
      <rPr>
        <b/>
        <sz val="12"/>
        <color theme="1"/>
        <rFont val="Calibri"/>
        <family val="2"/>
        <scheme val="minor"/>
      </rPr>
      <t xml:space="preserve">Debug UI: </t>
    </r>
    <r>
      <rPr>
        <sz val="12"/>
        <color theme="1"/>
        <rFont val="Calibri"/>
        <family val="2"/>
        <scheme val="minor"/>
      </rPr>
      <t xml:space="preserve">"D" toggles onscreen debug text that shows the current state of the action list in real-time, with enough details to be useful. </t>
    </r>
    <r>
      <rPr>
        <b/>
        <i/>
        <sz val="12"/>
        <color theme="1"/>
        <rFont val="Calibri"/>
        <family val="2"/>
        <scheme val="minor"/>
      </rPr>
      <t xml:space="preserve">Extra credit </t>
    </r>
    <r>
      <rPr>
        <sz val="12"/>
        <color theme="1"/>
        <rFont val="Calibri"/>
        <family val="2"/>
        <scheme val="minor"/>
      </rPr>
      <t>for well-crafted debug UI that is easy to read and has detailed action information.</t>
    </r>
  </si>
  <si>
    <r>
      <t xml:space="preserve">· </t>
    </r>
    <r>
      <rPr>
        <b/>
        <sz val="12"/>
        <color theme="1"/>
        <rFont val="Calibri"/>
        <family val="2"/>
        <scheme val="minor"/>
      </rPr>
      <t xml:space="preserve">Telemetry Data: </t>
    </r>
    <r>
      <rPr>
        <sz val="12"/>
        <color theme="1"/>
        <rFont val="Calibri"/>
        <family val="2"/>
        <scheme val="minor"/>
      </rPr>
      <t xml:space="preserve">Game and menu data is collected and written out, then copied to the telemetry data tab and formatted well (see tab for details). </t>
    </r>
    <r>
      <rPr>
        <b/>
        <i/>
        <sz val="12"/>
        <color theme="1"/>
        <rFont val="Calibri"/>
        <family val="2"/>
        <scheme val="minor"/>
      </rPr>
      <t>Extra credit</t>
    </r>
    <r>
      <rPr>
        <sz val="12"/>
        <color theme="1"/>
        <rFont val="Calibri"/>
        <family val="2"/>
        <scheme val="minor"/>
      </rPr>
      <t xml:space="preserve"> for extensive data from a "real" game or multiple very long stress tests.</t>
    </r>
  </si>
  <si>
    <r>
      <t xml:space="preserve">· </t>
    </r>
    <r>
      <rPr>
        <b/>
        <sz val="12"/>
        <color theme="1"/>
        <rFont val="Calibri"/>
        <family val="2"/>
        <scheme val="minor"/>
      </rPr>
      <t>Restrictions and Code Report:</t>
    </r>
    <r>
      <rPr>
        <sz val="12"/>
        <color theme="1"/>
        <rFont val="Calibri"/>
        <family val="2"/>
        <scheme val="minor"/>
      </rPr>
      <t xml:space="preserve"> No major technical/UX issues, mouse controls for card selection and menus, uses actions throughout, complete code report. </t>
    </r>
    <r>
      <rPr>
        <b/>
        <i/>
        <sz val="12"/>
        <color theme="1"/>
        <rFont val="Calibri"/>
        <family val="2"/>
        <scheme val="minor"/>
      </rPr>
      <t>Extra credit</t>
    </r>
    <r>
      <rPr>
        <sz val="12"/>
        <color theme="1"/>
        <rFont val="Calibri"/>
        <family val="2"/>
        <scheme val="minor"/>
      </rPr>
      <t xml:space="preserve"> for well organized, commented, and formatted code report.</t>
    </r>
  </si>
  <si>
    <r>
      <t xml:space="preserve">· </t>
    </r>
    <r>
      <rPr>
        <b/>
        <sz val="12"/>
        <color theme="1"/>
        <rFont val="Calibri"/>
        <family val="2"/>
        <scheme val="minor"/>
      </rPr>
      <t>Automation:</t>
    </r>
    <r>
      <rPr>
        <sz val="12"/>
        <color theme="1"/>
        <rFont val="Calibri"/>
        <family val="2"/>
        <scheme val="minor"/>
      </rPr>
      <t xml:space="preserve"> "T" toggles an auto mode that plays a hand, hits ESC, then a random menu option (not quit), then plays another hand, repeatedly. </t>
    </r>
    <r>
      <rPr>
        <b/>
        <i/>
        <sz val="12"/>
        <color theme="1"/>
        <rFont val="Calibri"/>
        <family val="2"/>
        <scheme val="minor"/>
      </rPr>
      <t>Extra credit</t>
    </r>
    <r>
      <rPr>
        <sz val="12"/>
        <color theme="1"/>
        <rFont val="Calibri"/>
        <family val="2"/>
        <scheme val="minor"/>
      </rPr>
      <t xml:space="preserve"> for a menu item with slow, normal, fast, and ultra-fast speed options.</t>
    </r>
  </si>
  <si>
    <r>
      <t xml:space="preserve">· </t>
    </r>
    <r>
      <rPr>
        <b/>
        <sz val="12"/>
        <color theme="1"/>
        <rFont val="Calibri"/>
        <family val="2"/>
        <scheme val="minor"/>
      </rPr>
      <t xml:space="preserve">Performance Data: </t>
    </r>
    <r>
      <rPr>
        <sz val="12"/>
        <color theme="1"/>
        <rFont val="Calibri"/>
        <family val="2"/>
        <scheme val="minor"/>
      </rPr>
      <t xml:space="preserve">Performance data is displayed when the debug UI is active (mean, median, and worst frame rate in the last 10-30 seconds) and is added to any telemetry data. </t>
    </r>
    <r>
      <rPr>
        <b/>
        <i/>
        <sz val="12"/>
        <color theme="1"/>
        <rFont val="Calibri"/>
        <family val="2"/>
        <scheme val="minor"/>
      </rPr>
      <t>Extra credit</t>
    </r>
    <r>
      <rPr>
        <sz val="12"/>
        <color theme="1"/>
        <rFont val="Calibri"/>
        <family val="2"/>
        <scheme val="minor"/>
      </rPr>
      <t xml:space="preserve"> for a real-time graphical display of data.</t>
    </r>
  </si>
  <si>
    <r>
      <t>Check-In 1E: Telemetry and Automation</t>
    </r>
    <r>
      <rPr>
        <sz val="14"/>
        <color theme="0"/>
        <rFont val="Calibri"/>
        <family val="2"/>
        <scheme val="minor"/>
      </rPr>
      <t xml:space="preserve"> (target is 10+ requirements)
</t>
    </r>
    <r>
      <rPr>
        <i/>
        <sz val="14"/>
        <color theme="0"/>
        <rFont val="Calibri"/>
        <family val="2"/>
        <scheme val="minor"/>
      </rPr>
      <t>+5% for "Target Met", +3% for "Some Progress", +1% for "No Progress", -10% for "Not Checked"</t>
    </r>
  </si>
  <si>
    <t>Include performance data that includes the mean, median, and worst frame rate every 10-30 seconds.</t>
  </si>
  <si>
    <r>
      <t xml:space="preserve">· </t>
    </r>
    <r>
      <rPr>
        <b/>
        <sz val="12"/>
        <color theme="1"/>
        <rFont val="Calibri"/>
        <family val="2"/>
        <scheme val="minor"/>
      </rPr>
      <t xml:space="preserve">ESC Menu: </t>
    </r>
    <r>
      <rPr>
        <sz val="12"/>
        <color theme="1"/>
        <rFont val="Calibri"/>
        <family val="2"/>
        <scheme val="minor"/>
      </rPr>
      <t xml:space="preserve">Elements animate in/out (separately with actions) with functional resume, play speed, hand size, hand number, and quit options. </t>
    </r>
    <r>
      <rPr>
        <b/>
        <i/>
        <sz val="12"/>
        <color theme="1"/>
        <rFont val="Calibri"/>
        <family val="2"/>
        <scheme val="minor"/>
      </rPr>
      <t>Extra credit</t>
    </r>
    <r>
      <rPr>
        <sz val="12"/>
        <color theme="1"/>
        <rFont val="Calibri"/>
        <family val="2"/>
        <scheme val="minor"/>
      </rPr>
      <t xml:space="preserve"> if well-crafted with sophisticated animations when going both in and out.</t>
    </r>
  </si>
  <si>
    <t>Full Credit</t>
  </si>
  <si>
    <t>Partial Credit</t>
  </si>
  <si>
    <t>Small Thing</t>
  </si>
  <si>
    <t xml:space="preserve">The Play space is entirely configureable in editor, that is to say the entire thing is defined by an elipse you can move around, and it will also let you configure how many players you want and they will all be eqally spaced out always with the player at the bottom.  The pause menu is also controlled by a gizmo that allows you to drag where you want them to move to and fro from as part of a list. I thought it was quite neat and woud be good for UI stuff in the future had I had more scale UI stuff. </t>
  </si>
  <si>
    <t>Lab E Goals Met</t>
  </si>
  <si>
    <t>// ( "Action List" ) 
//===| Action Manager |============================================================
public class ActionManager : MonoBehaviour
{
    private Queue&lt;ActionBase&gt; actionQueue = new Queue&lt;ActionBase&gt;();
    private List&lt;ActionBase&gt; activeActions = new List&lt;ActionBase&gt;();
    private bool islistBlocked = false;
    public float globalTimeScale = 1f;
    [SerializeField] private TextMeshProUGUI debugText; // Debug text for showing active actions  
    [SerializeField] private bool debugMode = false;
    void ToggleDebugText()
    {
        debugMode = !debugMode;
        if (debugText == null) Debug.LogError("Debug Text is not assigned in the inspector!");
        else debugText.gameObject.SetActive(debugMode);
    }
   void Update()
    {
        if (debugMode)
        {
            debugText.text = $"Active Actions: {activeActions.Count}" + "\n";
        }
        // Process active actions
        for (int i = activeActions.Count - 1; i &gt;= 0; i--) 
        {
            var action = activeActions[i];
            if (debugMode) debugText.text += action.GetActionState() + "\n";
            // Check if action should start (after delay)
            if (action.UpdateDelay()) action.Update();
            if (action.isComplete) 
            {   
                action.onComplete?.Invoke();                
                activeActions.RemoveAt(i);
                // Only unblock if this was a blocking action
                if (action.isBlocking) islistBlocked = false;
            }
        }
        // Add new actions if not blocked
        // Keep adding actions until we hit a blocking one or empty the queue
        while (!islistBlocked &amp;&amp; actionQueue.Count &gt; 0)
        {
            ActionBase action = actionQueue.Dequeue();
            activeActions.Add(action);
            action.SetManager(this);
            action.Start();
            // If we hit a blocking action, stop adding more until it completes
            if (action.isBlocking) 
            { 
                islistBlocked = true;
                break;
            }
        }
    }
    public void AddAction(ActionBase action)
    {
        action.SetManager(this);        // action looks at the manager for global time scale
        actionQueue.Enqueue(action);
    }
} // end of ActionManager// ( "Action List" ) 
//===| Action Manager |============================================================
public class ActionManager : MonoBehaviour
{
    private Queue&lt;ActionBase&gt; actionQueue = new Queue&lt;ActionBase&gt;();
    private List&lt;ActionBase&gt; activeActions = new List&lt;ActionBase&gt;();
    private bool islistBlocked = false;
    public float globalTimeScale = 1f;
    [SerializeField] private TextMeshProUGUI debugText; // Debug text for showing active actions  
    [SerializeField] private bool debugMode = false;
    void ToggleDebugText()
    {
        debugMode = !debugMode;
        if (debugText == null) Debug.LogError("Debug Text is not assigned in the inspector!");
        else debugText.gameObject.SetActive(debugMode);
    }
   void Update()
    {
        if (debugMode)
        {
            debugText.text = $"Active Actions: {activeActions.Count}" + "\n";
        }
        // Process active actions
        for (int i = activeActions.Count - 1; i &gt;= 0; i--) 
        {
            var action = activeActions[i];
            if (debugMode) debugText.text += action.GetActionState() + "\n";
            // Check if action should start (after delay)
            if (action.UpdateDelay()) action.Update();
            if (action.isComplete) 
            {   
                action.onComplete?.Invoke();                
                activeActions.RemoveAt(i);
                // Only unblock if this was a blocking action
                if (action.isBlocking) islistBlocked = false;
            }
        }
        // Add new actions if not blocked
        // Keep adding actions until we hit a blocking one or empty the queue
        while (!islistBlocked &amp;&amp; actionQueue.Count &gt; 0)
        {
            ActionBase action = actionQueue.Dequeue();
            activeActions.Add(action);
            action.SetManager(this);
            action.Start();
            // If we hit a blocking action, stop adding more until it completes
            if (action.isBlocking) 
            { 
                islistBlocked = true;
                break;
            }
        }
    }
    public void AddAction(ActionBase action)
    {
        action.SetManager(this);        // action looks at the manager for global time scale
        actionQueue.Enqueue(action);
    }
} // end of ActionManager</t>
  </si>
  <si>
    <t xml:space="preserve">Action List  Itself </t>
  </si>
  <si>
    <t xml:space="preserve">Various Actions </t>
  </si>
  <si>
    <t>/// &lt;summary&gt;
/// Fades a GameObject in or out by lerping alpha.
/// Supports CanvasGroup (UI panels), SpriteRenderer (cards/sprites), and UnityEngine.UI.Image.
/// If the GameObject has none of these, an error is logged.
/// &lt;/summary&gt;
public class FadeAction : GameObjectAction
{
    private float targetAlpha;
    private float startAlpha;
    private EaseFunction easeFunction;
    // Cached components — only one will be non-null
    private CanvasGroup canvasGroup;
    private SpriteRenderer spriteRenderer;
    private UnityEngine.UI.Image image;
    public FadeAction(GameObject entity,
                      float targetAlpha,
                      float duration,
                      float delay = 0f,
                      EaseFunction easeFunction = null,
                      bool blocking = true)
        : base(entity)
    {
        this.targetAlpha  = Mathf.Clamp01(targetAlpha);
        this.duration     = duration;
        this.delay        = delay;
        this.isBlocking   = blocking;
        this.easeFunction = easeFunction ?? Easing.Linear;
        // Cache whichever component exists — search children too for nested UI (e.g. TMP buttons)
        // Priority: CanvasGroup &gt; Image &gt; SpriteRenderer
        canvasGroup    = entity.GetComponent&lt;CanvasGroup&gt;()    ?? entity.GetComponentInChildren&lt;CanvasGroup&gt;();
        image          = entity.GetComponent&lt;UnityEngine.UI.Image&gt;() ?? entity.GetComponentInChildren&lt;UnityEngine.UI.Image&gt;();
        spriteRenderer = entity.GetComponent&lt;SpriteRenderer&gt;() ?? entity.GetComponentInChildren&lt;SpriteRenderer&gt;();
        if (canvasGroup == null &amp;&amp; image == null &amp;&amp; spriteRenderer == null)
            Debug.LogError($"FadeAction: {entity.name} has no CanvasGroup, Image, or SpriteRenderer to fade (searched children too).");
    }
    public override void Start()
    {
        base.Start();
        startAlpha = GetCurrentAlpha();
        if (!isPartOfSimultaneous)
            onComplete = () =&gt; SetAlpha(targetAlpha);
    }
    protected override void OnDelayComplete()
    {
        base.OnDelayComplete();
        startAlpha = GetCurrentAlpha(); // re-capture in case something changed during delay
    }
    public override void Update()
    {
        base.Update();
        if (!hasStarted) return;
        float t = Mathf.Clamp01(elapsed / duration);
        if (t &gt;= 1f)
        {
            SetAlpha(targetAlpha);
            return;
        }
        SetAlpha(Mathf.LerpUnclamped(startAlpha, targetAlpha, easeFunction(t)));
    }
    private float GetCurrentAlpha()
    {
        if (canvasGroup    != null) return canvasGroup.alpha;
        if (image          != null) return image.color.a;
        if (spriteRenderer != null) return spriteRenderer.color.a;
        return 1f;
    }
    private void SetAlpha(float alpha)
    {
        if (canvasGroup != null)
        {
            canvasGroup.alpha = alpha;
            return;
        }
        if (image != null)
        {
            Color c = image.color;
            c.a = alpha;
            image.color = c;
            return;
        }
        if (spriteRenderer != null)
        {
            Color c = spriteRenderer.color;
            c.a = alpha;
            spriteRenderer.color = c;
        }
    }
} // end of FadeAction</t>
  </si>
  <si>
    <t>public class SimultaneousTransformActions : GameObjectAction
{
    private List&lt;GameObjectAction&gt; actions = new List&lt;GameObjectAction&gt;();
    // Track which properties we're actually transforming
    private bool hasTranslateAction = false;
    private bool hasRotateAction = false;
    private bool hasScaleAction = false;
    private Vector3 finalPosition;
    private Quaternion finalRotation;
    private Vector3 finalScale;
    // Constructor
    public SimultaneousTransformActions(GameObject target, float delay = 0f, bool blocking = true) 
        : base(target)
    {
        this.delay = delay;
        this.isBlocking = blocking;
        this.duration = 0f;
        // Initialize final values to prevent null reference
        finalPosition = Vector3.zero;
        finalRotation = Quaternion.identity;
        finalScale = Vector3.one;
    }
    // Add an action to this simultaneous group
    public void AddAction(GameObjectAction action)
    {
        if (action.GetTargetObject() != targetObject)
        {
            Debug.LogError("Cannot add action with different target object to SimultaneousTransformActions");
            return;
        }
        action.SetSimultaneousFlag(true);
        actions.Add(action);
        // Update the duration based on this action
        duration = Mathf.Max(duration, action.duration + action.delay);
        // Store target values based on action type
        if (action is TranslateAction translateAction)
        {
            finalPosition = translateAction.GetTargetPosition();
            hasTranslateAction = true;
            //Debug.Log($"Added TranslateAction to {targetObject.name}: Target={finalPosition}");
        }
        else if (action is RotateAction rotateAction)
        {
            // Store the target rotation
            finalRotation = Quaternion.Euler(rotateAction.GetTargetRotation());
            hasRotateAction = true;
            //Debug.Log($"Added RotateAction to {targetObject.name}: Target={rotateAction.GetTargetRotation()}");
        }
        else if (action is ScaleAction scaleAction)
        {
            finalScale = scaleAction.GetTargetScale();
            hasScaleAction = true;
            //Debug.Log($"Added ScaleAction to {targetObject.name}: Target={finalScale}");
        }
    }
    public override void Start()
    {
        base.Start();
        // Capture current transform state
        startPosition = transform.position;
        startRotation = transform.rotation;
        startScale = transform.localScale;
        // For properties without explicit actions, use current values as final values
        if (!hasTranslateAction) finalPosition = startPosition;
        if (!hasRotateAction) finalRotation = startRotation;
        if (!hasScaleAction) finalScale = startScale;
        /*
        // Debug info
        Debug.Log($"SimultaneousTransformActions Start for {targetObject.name}:");
        Debug.Log($"  Duration={duration}, Delay={delay}");
        Debug.Log($"  hasTranslateAction={hasTranslateAction}, hasRotateAction={hasRotateAction}, hasScaleAction={hasScaleAction}");
        Debug.Log($"  Start Position: {startPosition}, Final Position: {finalPosition}");
        Debug.Log($"  Start Rotation: {startRotation.eulerAngles}, Final Rotation: {finalRotation.eulerAngles}");
        Debug.Log($"  Start Scale: {startScale}, Final Scale: {finalScale}");
        */
    }
    protected override void OnDelayComplete()
    {
        base.OnDelayComplete();
        // Recapture transforms in case they changed during the delay
        Vector3 oldStartPosition = startPosition;
        Quaternion oldStartRotation = startRotation;
        Vector3 oldStartScale = startScale;
        startPosition = transform.position;
        startRotation = transform.rotation;
        startScale = transform.localScale;
        // For properties without explicit actions, update final values to match new current values
        if (!hasTranslateAction) finalPosition = startPosition;
        if (!hasRotateAction) finalRotation = startRotation;
        if (!hasScaleAction) finalScale = startScale;
        /*
        // Debug info for transform updates
        Debug.Log($"SimultaneousTransformActions Delay Complete for {targetObject.name}:");
        if (oldStartPosition != startPosition)
            Debug.Log($"  Position changed during delay: {oldStartPosition} -&gt; {startPosition}");
        if (oldStartRotation != startRotation)
            Debug.Log($"  Rotation changed during delay: {oldStartRotation.eulerAngles} -&gt; {startRotation.eulerAngles}");
        if (oldStartScale != startScale)
            Debug.Log($"  Scale changed during delay: {oldStartScale} -&gt; {startScale}");
        */
    }
    public override void Update()
    {
        base.Update(); // Call base update for proper timing
        // Only update if we've passed the delay
        if (!hasStarted) return;
        // Calculate normalized progress (0-1)
        float t = Mathf.Clamp01(elapsed / duration);
        // Get easing functions for each transform property
        EaseFunction translateEase = Easing.Linear;
        EaseFunction rotateEase = Easing.Linear;
        EaseFunction scaleEase = Easing.Linear;
        // Find easing functions from added actions
        foreach (var action in actions)
        {
            if (action is TranslateAction transAction)
                translateEase = transAction.GetEaseFunction();
            else if (action is RotateAction rotAction)
                rotateEase = rotAction.GetEaseFunction();
            else if (action is ScaleAction scaleAction)
                scaleEase = scaleAction.GetEaseFunction();
        }
        // Apply transform changes ONLY for actions that were explicitly added
        if (hasTranslateAction)
        {
            float translationT = translateEase(t);
            transform.position = Vector3.LerpUnclamped(startPosition, finalPosition, translationT);
        }
        if (hasRotateAction)
        {
            float rotationT = rotateEase(t);
            transform.rotation = Quaternion.SlerpUnclamped(startRotation, finalRotation, rotationT);
        }
        if (hasScaleAction)
        {
            float scaleT = scaleEase(t);
            transform.localScale = Vector3.LerpUnclamped(startScale, finalScale, scaleT);
        }
        // Handle completion
        if (isComplete)
        {
            // Ensure we end exactly at the target transforms, but ONLY for properties we're modifying
            if (hasTranslateAction) transform.position = finalPosition;
            if (hasRotateAction) transform.rotation = finalRotation;
            if (hasScaleAction) transform.localScale = finalScale;
            //Debug.Log($"SimultaneousTransformActions Complete for {targetObject.name}");
        }
    }
} // end of SimultaneousTransformActions</t>
  </si>
  <si>
    <t>public class FlipAction : RotateAction
{
    public FlipAction(GameObject entity, float duration, float delay = 0f, bool blocking = false) 
        : base(entity, CalculateFlipTarget(entity), duration, delay, Easing.Linear, blocking) { }
    private static Vector3 CalculateFlipTarget(GameObject entity)
    {
        // Get current rotation and add 180 to X axis for flip
        Vector3 current = entity.transform.eulerAngles;
        return new Vector3(current.x + 180f, current.y, current.z);
    }
}</t>
  </si>
  <si>
    <t>/// &lt;summary&gt;
/// Specify a target rotation for a game object
/// NOTE: this is an absolute rotation, not a relative rotation this is the target rotation
/// &lt;/summary&gt;
public class RotateAction : GameObjectAction
{
    private Quaternion targetRotation;
    private EaseFunction easeFunction;
    private Vector3 targetEulerAngles;
    public Vector3 GetTargetRotation() =&gt; targetEulerAngles;
    public EaseFunction GetEaseFunction() =&gt; easeFunction;
    public RotateAction( GameObject entity,
                         Vector3 targetEulerAngles, 
                         float duration, 
                         float delay = 0f, 
                         EaseFunction easeFunction = null, 
                         bool blocking = true ) 
        : base(entity)
    {
        this.targetEulerAngles = targetEulerAngles;     
        this.targetRotation = Quaternion.Euler(targetEulerAngles);
        this.duration = duration;
        this.delay = delay;
        this.isBlocking = blocking;
        this.easeFunction = easeFunction ?? Easing.Linear;
    }
    public override void Start()
    {
        base.Start();
        if (!isPartOfSimultaneous)
        {
            onComplete = () =&gt; targetObject.transform.rotation = targetRotation;
        }
    }
    public override void Update()
    {
        base.Update(); // Call base update to handle elapsed time and completion
        // Only update if we've passed the delay
        if (!hasStarted) return;
        // Use elapsed from base class - NOT incrementing here
        float t = Mathf.Clamp01(elapsed / duration);
        float easedT = easeFunction(t);
        if (t &gt;= 1.0f)
        {
            targetObject.transform.rotation = targetRotation; // Ensure we reach exactly the target
            return;
        }
        targetObject.transform.rotation = Quaternion.LerpUnclamped(startRotation, targetRotation, easedT);
    }
}</t>
  </si>
  <si>
    <t>/// &lt;summary&gt;
/// Translate a game object to a target position with optional easing, duration, and delay
/// &lt;/summary&gt;
public class TranslateAction : GameObjectAction
{
    private Vector3 targetPos;
    private EaseFunction easeFunction;
    public Vector3 GetTargetPosition() =&gt; targetPos;
    public EaseFunction GetEaseFunction() =&gt; easeFunction;
    // Constructor to create a TranslateAction
    public TranslateAction(GameObject entity, Vector3 target, float duration, float delay = 0f, EaseFunction easeFunction = null, bool blocking = true) 
        : base(entity)
    {
        this.targetPos = target;
        this.duration = duration;
        this.delay = delay;
        this.isBlocking = blocking;
        this.easeFunction = easeFunction ?? Easing.Linear;
    }
    public override void Start()
    {
        base.Start();
        if (!isPartOfSimultaneous)
        {
            onComplete = () =&gt; targetObject.transform.position = targetPos;
        }
    }
    public override void Update()
    {
        base.Update();
        if (!hasStarted) return;
        float t = Mathf.Clamp01(elapsed / duration);
        float easedT = easeFunction(t);
        if (t &gt;= 1.0f)
        {
            targetObject.transform.position = targetPos;
            return;
        }
        // Use startPosition from the base class
        targetObject.transform.position = Vector3.LerpUnclamped(startPosition, targetPos, easedT);
    }
    // protected override void OnDelayComplete()
    // {
    //     // Recapture start position when delay completes
    //     // This ensures we start from current position after delay
    //     startPos = targetObject.transform.position;
    // }
} // end of TranslateAction</t>
  </si>
  <si>
    <t>public class ScaleAction : GameObjectAction
{
    private Vector3 targetScale;
    private EaseFunction easeFunction;
    public Vector3 GetTargetScale() =&gt; targetScale;
    public EaseFunction GetEaseFunction() =&gt; easeFunction;
    public ScaleAction( GameObject entity,
                        Vector3 targetScale, 
                        float duration, 
                        float delay = 0f, 
                        EaseFunction easeFunction = null,
                        bool blocking = true ) 
        : base(entity)
    {
        this.targetScale = targetScale;
        this.duration = duration;
        this.delay = delay;
        this.isBlocking = blocking;
        this.easeFunction = easeFunction ?? Easing.Linear;
    }
    public override void Start()
    {
        base.Start();
        if (!isPartOfSimultaneous)
        {
            onComplete = () =&gt; targetObject.transform.localScale = targetScale;
        }
    }
    public override void Update()
    {
        base.Update(); // Call base update to handle elapsed time and completion
        // Only update if we've passed the delay
        if (!hasStarted) return;
        // Use elapsed from base class
        float t = Mathf.Clamp01(elapsed / duration);
        float easedT = easeFunction(t);
        if (t &gt;= 1.0f)
        {
            targetObject.transform.localScale = targetScale; // Ensure we reach exactly the target
            return;
        }
        // Use startScale from the base class
        targetObject.transform.localScale = Vector3.LerpUnclamped(startScale, targetScale, easedT);
    }
} // end of ScaleAction</t>
  </si>
  <si>
    <t>/// &lt;summary&gt;
/// This action is to be used at the end of a sequence of actions to block the action list until the end of the sequence
/// time should be probably set to or more than the duration of the sequence including delays
/// &lt;/summary&gt;
public class BlockAction : ActionBase
{
    public BlockAction(float duration)
    {
        this.duration = duration;
        this.isBlocking = true;
    }
    public override void Update()
    {
        duration -= deltaTime;
        isComplete = duration &lt;= 0f;
    }
}
// Callback action to trigger a function when the action completes
public class CallBackAction : ActionBase
{
    public CallBackAction(float duration, bool isBlocking, System.Action callback)
    {
        this.duration = duration;
        this.onComplete = callback;
        this.isBlocking = isBlocking;
    }
}
//===| Game Object Level actions|=================================================
// GameObject-level actions inherit from ActionBase, designed to act on a GameObject
public abstract class GameObjectAction : ActionBase
{
    protected readonly GameObject targetObject;
    protected readonly Transform transform;     // Cached for performance 
    protected Vector3 startPosition;
    protected Quaternion startRotation;
    protected Vector3 startScale;
    protected GameObjectAction(GameObject target)
    {
        this.targetObject = target;
        this.transform = target.transform;
    }
    public GameObject GetTargetObject() =&gt; targetObject;
    public override void Start()
    {
        base.Start();
        // Cache the starting transform values
        CaptureCurrentTransform();
    }
    protected void CaptureCurrentTransform()
    {
        startPosition = transform.position;
        startRotation = transform.rotation;
        startScale = transform.localScale;
    }
    // Override OnDelayComplete to recapture transform after delay
    protected override void OnDelayComplete()
    {
        // Recapture all transforms when delay completes
        CaptureCurrentTransform();
    }
}</t>
  </si>
  <si>
    <t>public abstract class ActionBase
{
    public float duration; // total duration of the action
    public float delay;    // delay before starting the action
    public bool isBlocking;// if true, blocks subsequent actions until complete
    public System.Action onComplete;
    public bool isComplete;
    public float timeScale = 1f;
    protected ActionManager manager;             // Reference to manager for global timescale
    protected bool isPartOfSimultaneous = false; // track if the action is part of a simultaneous action
    protected bool hasStarted = false; // track if the action started or not 
    protected float delayTimer = 0.0f; // delay timer 
    protected float elapsed = 0.0f;    // track elapsed time separately from delay
    protected float deltaTime =&gt; Time.deltaTime * timeScale * (manager != null ? manager.globalTimeScale : 1f);
    public void SetManager(ActionManager manager)
    {
        this.manager = manager;
    }
    public void SetSimultaneousFlag(bool isSimultaneous)
    {
        this.isPartOfSimultaneous = isSimultaneous;
    }
    public virtual void Start() // IMPORTANT: for the delay to work properly inherited need to call base.Start() 
    {                           //            if they override this class. 
        delayTimer = 0f;
        elapsed = 0f;
        hasStarted = false;
        isComplete = false; // Ensure we reset this when restarting
    }
    public virtual bool UpdateDelay()
    {
        if (hasStarted) return true; // delay is complete, return true
        delayTimer += deltaTime;
        if (delayTimer &gt;= delay)
        {
            hasStarted = true;
            OnDelayComplete();
            return true;
        }
        return false;
    }
    public virtual void Update()
    {
        if (hasStarted)
        {
            elapsed += deltaTime;
            if (elapsed &gt;= duration)
            {
                isComplete = true;
            }
        }
    }
    protected virtual void OnDelayComplete() { }
    public virtual string GetActionState()
    {
        return $"{GetType().Name} - Duration: {duration}, ElapsedTime: {deltaTime}, Delay: {delay}, " +
               $"ElapsedDelay: {delayTimer} Blocking: {isBlocking} ";
    }
}</t>
  </si>
  <si>
    <t xml:space="preserve">Pause menu </t>
  </si>
  <si>
    <t>using System;
using System.Collections;
using System.Collections.Generic;
using Unity.VisualScripting;
using UnityEngine;
using UnityEngine.UI;
[System.Serializable] 
public class GameObjectPair
{
    public GameObject objectToTransform;
    public Vector3 targetPosition;       // where it animates TO (set via gizmo handle)
    [HideInInspector] public Vector3 originalPosition; // cached at Start, set automatically
}
public class PauseMenuController : MonoBehaviour
{
    // This holds the objects that need to be toggled (droped down and fade in when the pause menu is activated, and then put back when the pause menu is deactivated)
    [Header("Pair object with where it should animate to when the pause menu is activated")]
    public List&lt;GameObjectPair&gt; _objectsToToggle = new List&lt;GameObjectPair&gt;();
    public bool IsAnimating() { return _isAnimating; }
    public bool IsActivated() { return _activated; }
    [Header("Reference to the action manager to add the pause menu animations to")]
    [SerializeField] public ActionManager _actionManager;
    [DoNotSerialize] private bool _activated = false; 
    [DoNotSerialize] private bool _isAnimating = false;
    [Header("Sliders for size &amp; timescale options")] 
    [SerializeField] private Slider _timeScaleSlider;
    public float GetTimeScale() { return _timeScaleSlider.value; }
    [SerializeField] private Slider _cardSizeSlider;
    public float GetCardSize() { return _cardSizeSlider.value; }
    // Start is called before the first frame update
    void Start()
    {
        // Cache the original position of each object so we can return to it on deactivate
        foreach (GameObjectPair pair in _objectsToToggle)
        {
            if (pair.objectToTransform != null)
                pair.originalPosition = pair.objectToTransform.transform.position;
        }
    }
    // Update is called once per frame
    void Update()
    {
        if (_isAnimating) { return; } // if we're in the middle of an animation, ignore input to prevent spamming the pause menu
        if (Input.GetKeyDown(KeyCode.Escape))
        {
            if (_activated) {
                DeactivatePauseMenu();
            } else {
                ActivatePauseMenu();
            }
        }
    }
    private void ActivatePauseMenu()
    {
        _activated = true; 
        _isAnimating = true;
        const float animationDuration = 1.5f;
        foreach (GameObjectPair pair in _objectsToToggle)
        {
            _actionManager.AddAction(new TranslateAction(
                pair.objectToTransform,
                pair.targetPosition,
                animationDuration,
                0.0f,
                Easing.EaseInBounce,
                false
            ));
            _actionManager.AddAction(new FadeAction(
                pair.objectToTransform,
                1.0f,
                animationDuration,
                0.0f,
                Easing.EaseInCirc,
                false
            ));
        }
        _actionManager.AddAction(new CallBackAction(
            animationDuration,
            true,
            () =&gt; { _isAnimating = false; }
        ));
    }
    private void DeactivatePauseMenu()
    {
        _activated = false;
        _isAnimating = true;
        foreach (GameObjectPair pair in _objectsToToggle)
        {
            _actionManager.AddAction(new TranslateAction(
                pair.objectToTransform,
                pair.originalPosition,
                1.5f,
                0.0f,
                Easing.EaseOutBounce,
                false
            ));
            _actionManager.AddAction(new FadeAction(
                pair.objectToTransform,
                0.0f,
                1.5f,
                0.0f,
                Easing.EaseInCirc,
                false
            ));
        }
        _actionManager.AddAction(new CallBackAction(
            1.5f,
            true,
            () =&gt; { _isAnimating = false; }
        ));
    }
    // Call this from a UI button to resume — same behaviour as pressing Escape while paused
    public void Resume()
    {
        if (_isAnimating || !_activated) return;
        DeactivatePauseMenu();
    }
#if UNITY_EDITOR
    private void OnDrawGizmos()
    {
        if (_objectsToToggle == null) return;
        foreach (GameObjectPair pair in _objectsToToggle)
        {
            if (pair.objectToTransform == null) continue;
            Gizmos.color = Color.cyan;
            Gizmos.DrawWireSphere(pair.targetPosition, 0.3f);
            Gizmos.color = Color.yellow;
            Gizmos.DrawLine(pair.objectToTransform.transform.position, pair.targetPosition);
        }
    }
#endif
}</t>
  </si>
  <si>
    <t>using UnityEditor;
using UnityEngine;
[CustomEditor(typeof(PauseMenuController))]
public class PauseMenuControllerEditor : Editor
{
    private void OnSceneGUI()
    {
        PauseMenuController controller = (PauseMenuController)target;
        if (controller._objectsToToggle == null) return;
        SerializedObject so = new SerializedObject(controller);
        SerializedProperty listProp = so.FindProperty("_objectsToToggle");
        for (int i = 0; i &lt; controller._objectsToToggle.Count; i++)
        {
            GameObjectPair pair = controller._objectsToToggle[i];
            if (pair == null || pair.objectToTransform == null) continue;
            Vector3 objPos = pair.objectToTransform.transform.position;
            // If targetPosition hasn't been set yet, default it to the object's current position
            SerializedProperty elementProp = listProp.GetArrayElementAtIndex(i);
            SerializedProperty targetPosProp = elementProp.FindPropertyRelative("targetPosition");
            if (targetPosProp.vector3Value == Vector3.zero)
            {
                so.Update();
                targetPosProp.vector3Value = objPos;
                so.ApplyModifiedPropertiesWithoutUndo();
            }
            Vector3 targetPos = pair.targetPosition;
            // Draw the object's current/original position as a green wire sphere
            Handles.color = Color.green;
            Handles.DrawWireDisc(objPos, Vector3.forward, 0.3f);
            Handles.Label(objPos + Vector3.up * 0.4f, $"{pair.objectToTransform.name} (start)", EditorStyles.miniLabel);
            // Draw a line from object to target
            Handles.color = Color.yellow;
            Handles.DrawDottedLine(objPos, targetPos, 4f);
            // Draw a draggable handle at the target position
            Handles.color = Color.cyan;
            EditorGUI.BeginChangeCheck();
            Vector3 newPos = Handles.PositionHandle(targetPos, Quaternion.identity);
            if (EditorGUI.EndChangeCheck())
            {
                Undo.RecordObject(controller, "Move Pause Target Position");
                so.Update();
                targetPosProp.vector3Value = newPos;
                so.ApplyModifiedProperties();
            }
            Handles.Label(targetPos + Vector3.up * 0.4f, $"{pair.objectToTransform.name} (target)", EditorStyles.boldLabel);
        }
    }
}</t>
  </si>
  <si>
    <t>Oh many</t>
  </si>
  <si>
    <t xml:space="preserve">As with all projects I do in these des classes, nothing went to plan, everything broke last minuite, and everything could have been better. I've learned a lot about animation that I want to take into other applications. Doing this with Multiple channels seems to be exactly what they do in modern animation for human animations, just with a lot more quaternions and inverse kinematics / quaternion resolution. I’m seeing that this could be applied to that as a sequencer or have that be what happens under the hood with timed sequences etc. It could be applied to a lot of other applications as well. I’ve just barely scratched the surface of what I would like to do with this Command Pattern and I would LOVE to have time to edit this in the future when I’m not staring down the barrel of deadlines. But personal desires aside. The rotation system I had in place was objectively horrible, I should have had some overseer for card states, having rotations behave correctly while things are flipped up and down was an edge case nightmare and frankly had I known how children work. I should have kept the rotations done on the children instead of on the parrent structure because rotations screw with EVERYTHING. The number of whiteboards I could fill with me trying to figure out how to resolve all the cases I ran into (which I STILL haven’t fixed entirely) could fill up a library. But it works good enough, and the only bug left is that the last card of the round sometimes flips in weird directions when revealed and discarded. I also could have improved the actual game manager. I’ve never been good at architecting these and I should really consult a whiteboard next time instead of just writing till I run into problems. Because I have yet again, ended up with a giant oversized game manager rather than smaller piece-meal parts that I could individually modify.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</si>
</sst>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font>
      <sz val="11"/>
      <color theme="1"/>
      <name val="Calibri"/>
      <family val="2"/>
      <scheme val="minor"/>
    </font>
    <font>
      <sz val="12"/>
      <color theme="1"/>
      <name val="Calibri"/>
      <family val="2"/>
      <scheme val="minor"/>
    </font>
    <font>
      <b/>
      <sz val="12"/>
      <color theme="1"/>
      <name val="Calibri"/>
      <family val="2"/>
      <scheme val="minor"/>
    </font>
    <font>
      <sz val="12"/>
      <color theme="1"/>
      <name val="Symbol"/>
      <family val="1"/>
      <charset val="2"/>
    </font>
    <font>
      <sz val="12"/>
      <color theme="1"/>
      <name val="Calibri"/>
      <family val="1"/>
      <charset val="2"/>
      <scheme val="minor"/>
    </font>
    <font>
      <i/>
      <sz val="12"/>
      <color theme="1"/>
      <name val="Calibri"/>
      <family val="2"/>
      <scheme val="minor"/>
    </font>
    <font>
      <sz val="18"/>
      <color theme="1"/>
      <name val="Calibri"/>
      <family val="2"/>
      <scheme val="minor"/>
    </font>
    <font>
      <b/>
      <sz val="18"/>
      <color theme="0"/>
      <name val="Calibri"/>
      <family val="2"/>
      <scheme val="minor"/>
    </font>
    <font>
      <b/>
      <sz val="14"/>
      <color theme="0"/>
      <name val="Calibri"/>
      <family val="2"/>
      <scheme val="minor"/>
    </font>
    <font>
      <i/>
      <sz val="14"/>
      <color theme="0"/>
      <name val="Calibri"/>
      <family val="2"/>
      <scheme val="minor"/>
    </font>
    <font>
      <b/>
      <sz val="12"/>
      <name val="Calibri"/>
      <family val="2"/>
      <scheme val="minor"/>
    </font>
    <font>
      <sz val="12"/>
      <name val="Calibri"/>
      <family val="2"/>
      <scheme val="minor"/>
    </font>
    <font>
      <sz val="11"/>
      <color theme="1"/>
      <name val="Calibri"/>
      <family val="2"/>
      <scheme val="minor"/>
    </font>
    <font>
      <i/>
      <sz val="10"/>
      <color theme="1"/>
      <name val="Calibri"/>
      <family val="2"/>
    </font>
    <font>
      <i/>
      <sz val="8"/>
      <color theme="1"/>
      <name val="Calibri"/>
      <family val="2"/>
    </font>
    <font>
      <b/>
      <sz val="14"/>
      <color theme="1"/>
      <name val="Calibri"/>
      <family val="2"/>
      <scheme val="minor"/>
    </font>
    <font>
      <b/>
      <sz val="14"/>
      <name val="Calibri"/>
      <family val="2"/>
      <scheme val="minor"/>
    </font>
    <font>
      <i/>
      <sz val="12"/>
      <name val="Calibri"/>
      <family val="2"/>
      <scheme val="minor"/>
    </font>
    <font>
      <i/>
      <sz val="11"/>
      <color theme="1"/>
      <name val="Calibri"/>
      <family val="2"/>
      <scheme val="minor"/>
    </font>
    <font>
      <sz val="18"/>
      <color theme="0"/>
      <name val="Calibri"/>
      <family val="2"/>
      <scheme val="minor"/>
    </font>
    <font>
      <sz val="14"/>
      <color theme="0"/>
      <name val="Calibri"/>
      <family val="2"/>
      <scheme val="minor"/>
    </font>
    <font>
      <b/>
      <i/>
      <sz val="12"/>
      <color theme="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bgColor indexed="64"/>
      </patternFill>
    </fill>
  </fills>
  <borders count="10">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top style="medium">
        <color indexed="64"/>
      </top>
      <bottom/>
      <diagonal/>
    </border>
    <border>
      <left/>
      <right/>
      <top/>
      <bottom style="medium">
        <color indexed="64"/>
      </bottom>
      <diagonal/>
    </border>
  </borders>
  <cellStyleXfs count="2">
    <xf numFmtId="0" fontId="0" fillId="0" borderId="0"/>
    <xf numFmtId="9" fontId="12" fillId="0" borderId="0" applyFont="0" applyFill="0" applyBorder="0" applyAlignment="0" applyProtection="0"/>
  </cellStyleXfs>
  <cellXfs count="53">
    <xf numFmtId="0" fontId="0" fillId="0" borderId="0" xfId="0"/>
    <xf numFmtId="0" fontId="1" fillId="0" borderId="0" xfId="0" applyFont="1"/>
    <xf numFmtId="0" fontId="1" fillId="0" borderId="0" xfId="0" applyFont="1" applyAlignment="1">
      <alignment horizontal="left"/>
    </xf>
    <xf numFmtId="0" fontId="6" fillId="0" borderId="0" xfId="0" applyFont="1"/>
    <xf numFmtId="0" fontId="1" fillId="0" borderId="0" xfId="0" applyFont="1" applyAlignment="1">
      <alignment horizontal="left" wrapText="1" indent="1"/>
    </xf>
    <xf numFmtId="0" fontId="3" fillId="0" borderId="3" xfId="0" applyFont="1" applyBorder="1" applyAlignment="1">
      <alignment horizontal="left" vertical="center" wrapText="1" indent="1"/>
    </xf>
    <xf numFmtId="0" fontId="7" fillId="2" borderId="1" xfId="0" applyFont="1" applyFill="1" applyBorder="1" applyAlignment="1">
      <alignment horizontal="left" indent="1"/>
    </xf>
    <xf numFmtId="0" fontId="11" fillId="3" borderId="0" xfId="0" applyFont="1" applyFill="1"/>
    <xf numFmtId="0" fontId="10" fillId="3" borderId="1" xfId="0" applyFont="1" applyFill="1" applyBorder="1" applyAlignment="1">
      <alignment horizontal="center"/>
    </xf>
    <xf numFmtId="0" fontId="6" fillId="0" borderId="0" xfId="0" applyFont="1" applyAlignment="1">
      <alignment wrapText="1"/>
    </xf>
    <xf numFmtId="0" fontId="1" fillId="0" borderId="0" xfId="0" applyFont="1" applyAlignment="1">
      <alignment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1" fillId="0" borderId="5" xfId="0" applyFont="1" applyBorder="1" applyAlignment="1">
      <alignment horizontal="left" vertical="top" wrapText="1" indent="1"/>
    </xf>
    <xf numFmtId="9" fontId="1" fillId="0" borderId="0" xfId="1" applyFont="1"/>
    <xf numFmtId="0" fontId="1" fillId="0" borderId="3" xfId="0" applyFont="1" applyBorder="1" applyAlignment="1">
      <alignment horizontal="left" vertical="top" wrapText="1" indent="1"/>
    </xf>
    <xf numFmtId="0" fontId="2" fillId="0" borderId="6" xfId="0" applyFont="1" applyBorder="1" applyAlignment="1">
      <alignment horizontal="center" vertical="center" wrapText="1"/>
    </xf>
    <xf numFmtId="9" fontId="2" fillId="0" borderId="1" xfId="1" applyFont="1" applyBorder="1" applyAlignment="1">
      <alignment horizontal="center" vertical="center"/>
    </xf>
    <xf numFmtId="9" fontId="15" fillId="0" borderId="4" xfId="1" applyFont="1" applyBorder="1" applyAlignment="1">
      <alignment horizontal="center" vertical="center"/>
    </xf>
    <xf numFmtId="0" fontId="1" fillId="0" borderId="0" xfId="0" applyFont="1" applyAlignment="1">
      <alignment horizontal="left" vertical="center" indent="1"/>
    </xf>
    <xf numFmtId="0" fontId="2" fillId="0" borderId="0" xfId="0" applyFont="1" applyAlignment="1">
      <alignment horizontal="left" vertical="center" wrapText="1" indent="1"/>
    </xf>
    <xf numFmtId="0" fontId="7" fillId="2" borderId="2" xfId="0" applyFont="1" applyFill="1" applyBorder="1" applyAlignment="1">
      <alignment horizontal="left" vertical="center" indent="1"/>
    </xf>
    <xf numFmtId="0" fontId="1" fillId="0" borderId="0" xfId="0" applyFont="1" applyAlignment="1">
      <alignment horizontal="center"/>
    </xf>
    <xf numFmtId="9" fontId="1" fillId="0" borderId="0" xfId="1" applyFont="1" applyAlignment="1">
      <alignment horizontal="center"/>
    </xf>
    <xf numFmtId="0" fontId="17" fillId="0" borderId="0" xfId="0" applyFont="1" applyAlignment="1">
      <alignment horizontal="left" vertical="top" indent="1"/>
    </xf>
    <xf numFmtId="0" fontId="10" fillId="0" borderId="0" xfId="0" applyFont="1" applyAlignment="1">
      <alignment horizontal="left" indent="1"/>
    </xf>
    <xf numFmtId="0" fontId="11" fillId="0" borderId="0" xfId="0" applyFont="1"/>
    <xf numFmtId="0" fontId="7" fillId="2" borderId="0" xfId="0" applyFont="1" applyFill="1" applyAlignment="1">
      <alignment horizontal="left" vertical="top" indent="1"/>
    </xf>
    <xf numFmtId="0" fontId="0" fillId="0" borderId="0" xfId="0" applyAlignment="1">
      <alignment horizontal="left" vertical="top" indent="1"/>
    </xf>
    <xf numFmtId="0" fontId="0" fillId="0" borderId="0" xfId="0" applyAlignment="1">
      <alignment horizontal="left" vertical="top"/>
    </xf>
    <xf numFmtId="0" fontId="18" fillId="0" borderId="0" xfId="0" applyFont="1" applyAlignment="1">
      <alignment horizontal="left" vertical="top"/>
    </xf>
    <xf numFmtId="0" fontId="5" fillId="0" borderId="0" xfId="0" applyFont="1" applyAlignment="1">
      <alignment horizontal="left" indent="1"/>
    </xf>
    <xf numFmtId="0" fontId="16" fillId="3" borderId="6" xfId="0" applyFont="1" applyFill="1" applyBorder="1" applyAlignment="1">
      <alignment horizontal="center" vertical="center"/>
    </xf>
    <xf numFmtId="164" fontId="19" fillId="0" borderId="0" xfId="0" applyNumberFormat="1" applyFont="1"/>
    <xf numFmtId="164" fontId="2" fillId="0" borderId="4" xfId="1" applyNumberFormat="1" applyFont="1" applyBorder="1" applyAlignment="1">
      <alignment horizontal="center" vertical="center"/>
    </xf>
    <xf numFmtId="0" fontId="2" fillId="0" borderId="1" xfId="0" applyFont="1" applyBorder="1" applyAlignment="1">
      <alignment horizontal="center" vertical="center" wrapText="1"/>
    </xf>
    <xf numFmtId="0" fontId="8" fillId="2" borderId="1" xfId="0" applyFont="1" applyFill="1" applyBorder="1" applyAlignment="1">
      <alignment horizontal="left" vertical="center" wrapText="1" indent="1"/>
    </xf>
    <xf numFmtId="0" fontId="3" fillId="0" borderId="1" xfId="0" applyFont="1" applyBorder="1" applyAlignment="1">
      <alignment horizontal="left" vertical="center" wrapText="1" indent="1"/>
    </xf>
    <xf numFmtId="0" fontId="1" fillId="0" borderId="9" xfId="0" applyFont="1" applyBorder="1" applyAlignment="1">
      <alignment horizontal="left" vertical="top" wrapText="1" indent="1"/>
    </xf>
    <xf numFmtId="0" fontId="4" fillId="0" borderId="1" xfId="0" applyFont="1" applyBorder="1" applyAlignment="1">
      <alignment horizontal="left" wrapText="1" indent="1"/>
    </xf>
    <xf numFmtId="0" fontId="1" fillId="0" borderId="0" xfId="0" applyFont="1" applyAlignment="1">
      <alignment horizontal="left" vertical="center"/>
    </xf>
    <xf numFmtId="0" fontId="14" fillId="0" borderId="8" xfId="0" applyFont="1" applyBorder="1" applyAlignment="1">
      <alignment horizontal="center" vertical="top" wrapText="1"/>
    </xf>
    <xf numFmtId="0" fontId="13" fillId="0" borderId="8" xfId="0" applyFont="1" applyBorder="1" applyAlignment="1">
      <alignment horizontal="center" vertical="top" wrapText="1"/>
    </xf>
    <xf numFmtId="0" fontId="13" fillId="0" borderId="0" xfId="0" applyFont="1" applyAlignment="1">
      <alignment horizontal="center" vertical="top" wrapText="1"/>
    </xf>
    <xf numFmtId="0" fontId="13" fillId="0" borderId="9" xfId="0" applyFont="1" applyBorder="1" applyAlignment="1">
      <alignment horizontal="center" vertical="top" wrapText="1"/>
    </xf>
    <xf numFmtId="9" fontId="1" fillId="0" borderId="4" xfId="1" applyFont="1" applyBorder="1" applyAlignment="1">
      <alignment horizontal="left" vertical="top"/>
    </xf>
    <xf numFmtId="9" fontId="1" fillId="0" borderId="5" xfId="1" applyFont="1" applyBorder="1" applyAlignment="1">
      <alignment horizontal="left" vertical="top"/>
    </xf>
    <xf numFmtId="9" fontId="1" fillId="0" borderId="6" xfId="1" applyFont="1" applyBorder="1" applyAlignment="1">
      <alignment horizontal="left" vertical="top"/>
    </xf>
    <xf numFmtId="0" fontId="1" fillId="0" borderId="8" xfId="0" applyFont="1" applyBorder="1" applyAlignment="1">
      <alignment horizontal="left" vertical="top" wrapText="1"/>
    </xf>
    <xf numFmtId="0" fontId="1" fillId="0" borderId="0" xfId="0" applyFont="1" applyAlignment="1">
      <alignment horizontal="left" vertical="top" wrapText="1"/>
    </xf>
    <xf numFmtId="0" fontId="7" fillId="2" borderId="7" xfId="0" applyFont="1" applyFill="1" applyBorder="1" applyAlignment="1">
      <alignment horizontal="left" indent="1"/>
    </xf>
    <xf numFmtId="0" fontId="7" fillId="2" borderId="0" xfId="0" applyFont="1" applyFill="1" applyAlignment="1">
      <alignment horizontal="left" indent="1"/>
    </xf>
    <xf numFmtId="0" fontId="0" fillId="0" borderId="0" xfId="0" applyAlignment="1">
      <alignment horizontal="left" vertical="top" wrapText="1"/>
    </xf>
  </cellXfs>
  <cellStyles count="2">
    <cellStyle name="Normal" xfId="0" builtinId="0"/>
    <cellStyle name="Percent" xfId="1" builtinId="5"/>
  </cellStyles>
  <dxfs count="72">
    <dxf>
      <fill>
        <patternFill>
          <bgColor rgb="FF00B0F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
      <fill>
        <patternFill>
          <bgColor rgb="FF00B0F0"/>
        </patternFill>
      </fill>
    </dxf>
    <dxf>
      <fill>
        <patternFill>
          <bgColor theme="9"/>
        </patternFill>
      </fill>
    </dxf>
    <dxf>
      <fill>
        <patternFill>
          <bgColor theme="9"/>
        </patternFill>
      </fill>
    </dxf>
    <dxf>
      <font>
        <strike val="0"/>
      </font>
      <fill>
        <patternFill>
          <bgColor theme="9"/>
        </patternFill>
      </fill>
    </dxf>
    <dxf>
      <fill>
        <patternFill>
          <bgColor theme="7" tint="0.39994506668294322"/>
        </patternFill>
      </fill>
    </dxf>
    <dxf>
      <font>
        <strike val="0"/>
      </font>
      <fill>
        <patternFill>
          <bgColor theme="7" tint="0.39994506668294322"/>
        </patternFill>
      </fill>
    </dxf>
    <dxf>
      <font>
        <strike val="0"/>
      </font>
      <fill>
        <patternFill>
          <bgColor theme="7" tint="0.39994506668294322"/>
        </patternFill>
      </fill>
    </dxf>
    <dxf>
      <fill>
        <patternFill>
          <bgColor theme="7" tint="0.39994506668294322"/>
        </patternFill>
      </fill>
    </dxf>
    <dxf>
      <fill>
        <patternFill>
          <bgColor rgb="FFC00000"/>
        </patternFill>
      </fill>
    </dxf>
    <dxf>
      <fill>
        <patternFill>
          <bgColor rgb="FFC00000"/>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157B-2C69-40ED-8105-705AC516B6B8}">
  <dimension ref="A1:E42"/>
  <sheetViews>
    <sheetView tabSelected="1" topLeftCell="A23" workbookViewId="0">
      <selection activeCell="B32" sqref="B32"/>
    </sheetView>
  </sheetViews>
  <sheetFormatPr defaultColWidth="9.05078125" defaultRowHeight="15.6"/>
  <cols>
    <col min="1" max="1" width="6.578125" style="14" customWidth="1"/>
    <col min="2" max="2" width="8.578125" style="1" customWidth="1"/>
    <col min="3" max="3" width="106.68359375" style="4" customWidth="1"/>
    <col min="4" max="4" width="9.05078125" style="1"/>
    <col min="5" max="5" width="9.05078125" style="10"/>
    <col min="6" max="16384" width="9.05078125" style="1"/>
  </cols>
  <sheetData>
    <row r="1" spans="1:5" s="3" customFormat="1" ht="23.4" thickBot="1">
      <c r="A1" s="18">
        <f>MIN(1,(MAX(D1,(SUM(A4:A963)+IF(ISBLANK(A2),0,MIN(0,A2-0.7))))))</f>
        <v>0.42000000000000015</v>
      </c>
      <c r="B1" s="32" t="s">
        <v>8</v>
      </c>
      <c r="C1" s="21" t="s">
        <v>2</v>
      </c>
      <c r="D1" s="33">
        <f>MAX(A6,0)+MAX(A11,0)+MAX(A16,0)+MAX(A21,0)+MAX(A26,0)+MAX(A31,0)+COUNTIF(A7:A9,"&gt;0")*0.01+COUNTIF(A12:A14,"&gt;0")*0.01+COUNTIF(A17:A19,"&gt;0")*0.01+COUNTIF(A22:A24,"&gt;0")*0.01+COUNTIF(A27:A28,"&gt;0")*0.01+COUNTIF(A32:A34,"&gt;0")*0.01</f>
        <v>0.13999999999999999</v>
      </c>
      <c r="E1" s="9"/>
    </row>
    <row r="2" spans="1:5" ht="31.5" thickBot="1">
      <c r="A2" s="17">
        <v>1</v>
      </c>
      <c r="B2" s="16" t="s">
        <v>1</v>
      </c>
      <c r="C2" s="15" t="s">
        <v>15</v>
      </c>
    </row>
    <row r="3" spans="1:5" ht="4.05" customHeight="1">
      <c r="A3" s="41" t="s">
        <v>9</v>
      </c>
      <c r="B3" s="42"/>
      <c r="C3" s="15"/>
    </row>
    <row r="4" spans="1:5" ht="31.5" thickBot="1">
      <c r="A4" s="43"/>
      <c r="B4" s="43"/>
      <c r="C4" s="15" t="s">
        <v>10</v>
      </c>
    </row>
    <row r="5" spans="1:5" ht="8.1" customHeight="1" thickBot="1">
      <c r="A5" s="44"/>
      <c r="B5" s="44"/>
      <c r="C5" s="13"/>
    </row>
    <row r="6" spans="1:5" s="2" customFormat="1" ht="36.9" thickBot="1">
      <c r="A6" s="34" t="str">
        <f>IF(LEFT(B6,3)="Not",-0.1,IF(LEFT(B6,2)="No",0.01,IF(LEFT(B6,4)="Some",0.03,IF(LEFT(B6,6)="Target",0.05,"n/a"))))</f>
        <v>n/a</v>
      </c>
      <c r="B6" s="35"/>
      <c r="C6" s="36" t="s">
        <v>16</v>
      </c>
      <c r="E6" s="11"/>
    </row>
    <row r="7" spans="1:5" s="2" customFormat="1" ht="31.5" thickBot="1">
      <c r="A7" s="34">
        <f>IF(LEFT(B7,2)="No",-0.1,IF(LEFT(B7,7)="Partial",0.01,IF(LEFT(B7,4)="Full",0.03,IF(LEFT(B7,5)="Extra",0.05,"n/a"))))</f>
        <v>0.03</v>
      </c>
      <c r="B7" s="35" t="s">
        <v>38</v>
      </c>
      <c r="C7" s="37" t="s">
        <v>19</v>
      </c>
      <c r="E7" s="12"/>
    </row>
    <row r="8" spans="1:5" s="2" customFormat="1" ht="31.5" thickBot="1">
      <c r="A8" s="34">
        <f>IF(LEFT(B8,2)="No",-0.1,IF(LEFT(B8,7)="Partial",0.01,IF(LEFT(B8,4)="Full",0.03,IF(LEFT(B8,5)="Extra",0.05,"n/a"))))</f>
        <v>0.03</v>
      </c>
      <c r="B8" s="35" t="s">
        <v>38</v>
      </c>
      <c r="C8" s="37" t="s">
        <v>18</v>
      </c>
      <c r="E8" s="12"/>
    </row>
    <row r="9" spans="1:5" s="2" customFormat="1" ht="31.5" thickBot="1">
      <c r="A9" s="34">
        <f>IF(LEFT(B9,2)="No",-0.1,IF(LEFT(B9,7)="Partial",0.01,IF(LEFT(B9,4)="Full",0.03,IF(LEFT(B9,5)="Extra",0.05,"n/a"))))</f>
        <v>0.03</v>
      </c>
      <c r="B9" s="35" t="s">
        <v>38</v>
      </c>
      <c r="C9" s="37" t="s">
        <v>20</v>
      </c>
      <c r="E9" s="12"/>
    </row>
    <row r="10" spans="1:5" ht="8.1" customHeight="1" thickBot="1">
      <c r="C10" s="38"/>
    </row>
    <row r="11" spans="1:5" s="2" customFormat="1" ht="36.9" thickBot="1">
      <c r="A11" s="34" t="str">
        <f>IF(LEFT(B11,3)="Not",-0.1,IF(LEFT(B11,2)="No",0.01,IF(LEFT(B11,4)="Some",0.03,IF(LEFT(B11,6)="Target",0.05,"n/a"))))</f>
        <v>n/a</v>
      </c>
      <c r="B11" s="35"/>
      <c r="C11" s="36" t="s">
        <v>17</v>
      </c>
      <c r="E11" s="12"/>
    </row>
    <row r="12" spans="1:5" s="2" customFormat="1" ht="31.9" customHeight="1" thickBot="1">
      <c r="A12" s="34">
        <f>IF(LEFT(B12,2)="No",-0.1,IF(LEFT(B12,7)="Partial",0.01,IF(LEFT(B12,4)="Full",0.03,IF(LEFT(B12,5)="Extra",0.05,"n/a"))))</f>
        <v>0.03</v>
      </c>
      <c r="B12" s="35" t="s">
        <v>38</v>
      </c>
      <c r="C12" s="37" t="s">
        <v>21</v>
      </c>
      <c r="E12" s="12"/>
    </row>
    <row r="13" spans="1:5" s="2" customFormat="1" ht="31.5" thickBot="1">
      <c r="A13" s="34">
        <f>IF(LEFT(B13,2)="No",-0.1,IF(LEFT(B13,7)="Partial",0.01,IF(LEFT(B13,4)="Full",0.03,IF(LEFT(B13,5)="Extra",0.05,"n/a"))))</f>
        <v>0.03</v>
      </c>
      <c r="B13" s="35" t="s">
        <v>38</v>
      </c>
      <c r="C13" s="37" t="s">
        <v>22</v>
      </c>
      <c r="E13" s="11"/>
    </row>
    <row r="14" spans="1:5" s="2" customFormat="1" ht="31.5" thickBot="1">
      <c r="A14" s="34">
        <f>IF(LEFT(B14,2)="No",-0.1,IF(LEFT(B14,7)="Partial",0.01,IF(LEFT(B14,4)="Full",0.03,IF(LEFT(B14,5)="Extra",0.05,"n/a"))))</f>
        <v>0.01</v>
      </c>
      <c r="B14" s="35" t="s">
        <v>39</v>
      </c>
      <c r="C14" s="37" t="s">
        <v>23</v>
      </c>
      <c r="E14" s="12"/>
    </row>
    <row r="15" spans="1:5" ht="8.1" customHeight="1" thickBot="1">
      <c r="C15" s="13"/>
    </row>
    <row r="16" spans="1:5" s="2" customFormat="1" ht="36.9" thickBot="1">
      <c r="A16" s="34" t="str">
        <f>IF(LEFT(B16,3)="Not",-0.1,IF(LEFT(B16,2)="No",0.01,IF(LEFT(B16,4)="Some",0.03,IF(LEFT(B16,6)="Target",0.05,"n/a"))))</f>
        <v>n/a</v>
      </c>
      <c r="B16" s="35"/>
      <c r="C16" s="36" t="s">
        <v>27</v>
      </c>
      <c r="E16" s="12"/>
    </row>
    <row r="17" spans="1:5" s="2" customFormat="1" ht="31.5" thickBot="1">
      <c r="A17" s="34">
        <f>IF(LEFT(B17,2)="No",-0.1,IF(LEFT(B17,7)="Partial",0.01,IF(LEFT(B17,4)="Full",0.03,IF(LEFT(B17,5)="Extra",0.05,"n/a"))))</f>
        <v>0.03</v>
      </c>
      <c r="B17" s="35" t="s">
        <v>38</v>
      </c>
      <c r="C17" s="37" t="s">
        <v>24</v>
      </c>
      <c r="E17" s="12"/>
    </row>
    <row r="18" spans="1:5" s="2" customFormat="1" ht="31.9" customHeight="1" thickBot="1">
      <c r="A18" s="34">
        <f>IF(LEFT(B18,2)="No",-0.1,IF(LEFT(B18,7)="Partial",0.01,IF(LEFT(B18,4)="Full",0.03,IF(LEFT(B18,5)="Extra",0.05,"n/a"))))</f>
        <v>0.03</v>
      </c>
      <c r="B18" s="35" t="s">
        <v>38</v>
      </c>
      <c r="C18" s="37" t="s">
        <v>25</v>
      </c>
      <c r="E18" s="11"/>
    </row>
    <row r="19" spans="1:5" s="2" customFormat="1" ht="31.5" thickBot="1">
      <c r="A19" s="34">
        <f>IF(LEFT(B19,2)="No",-0.1,IF(LEFT(B19,7)="Partial",0.01,IF(LEFT(B19,4)="Full",0.03,IF(LEFT(B19,5)="Extra",0.05,"n/a"))))</f>
        <v>0.03</v>
      </c>
      <c r="B19" s="35" t="s">
        <v>38</v>
      </c>
      <c r="C19" s="37" t="s">
        <v>28</v>
      </c>
      <c r="E19" s="12"/>
    </row>
    <row r="20" spans="1:5" ht="8.1" customHeight="1" thickBot="1">
      <c r="C20" s="13"/>
    </row>
    <row r="21" spans="1:5" s="2" customFormat="1" ht="36.9" thickBot="1">
      <c r="A21" s="34" t="str">
        <f>IF(LEFT(B21,3)="Not",-0.1,IF(LEFT(B21,2)="No",0.01,IF(LEFT(B21,4)="Some",0.03,IF(LEFT(B21,6)="Target",0.05,"n/a"))))</f>
        <v>n/a</v>
      </c>
      <c r="B21" s="35"/>
      <c r="C21" s="36" t="s">
        <v>29</v>
      </c>
      <c r="E21" s="11"/>
    </row>
    <row r="22" spans="1:5" s="2" customFormat="1" ht="31.5" thickBot="1">
      <c r="A22" s="34">
        <f>IF(LEFT(B22,2)="No",-0.1,IF(LEFT(B22,7)="Partial",0.01,IF(LEFT(B22,4)="Full",0.03,IF(LEFT(B22,5)="Extra",0.05,"n/a"))))</f>
        <v>0.03</v>
      </c>
      <c r="B22" s="35" t="s">
        <v>38</v>
      </c>
      <c r="C22" s="37" t="s">
        <v>37</v>
      </c>
      <c r="E22" s="40"/>
    </row>
    <row r="23" spans="1:5" s="2" customFormat="1" ht="31.9" customHeight="1" thickBot="1">
      <c r="A23" s="34">
        <f>IF(LEFT(B23,2)="No",-0.1,IF(LEFT(B23,7)="Partial",0.01,IF(LEFT(B23,4)="Full",0.03,IF(LEFT(B23,5)="Extra",0.05,"n/a"))))</f>
        <v>0.03</v>
      </c>
      <c r="B23" s="35" t="s">
        <v>38</v>
      </c>
      <c r="C23" s="5" t="s">
        <v>26</v>
      </c>
      <c r="E23" s="12"/>
    </row>
    <row r="24" spans="1:5" s="2" customFormat="1" ht="31.5" thickBot="1">
      <c r="A24" s="34">
        <f>IF(LEFT(B24,2)="No",-0.1,IF(LEFT(B24,7)="Partial",0.01,IF(LEFT(B24,4)="Full",0.03,IF(LEFT(B24,5)="Extra",0.05,"n/a"))))</f>
        <v>0.03</v>
      </c>
      <c r="B24" s="35" t="s">
        <v>38</v>
      </c>
      <c r="C24" s="37" t="s">
        <v>30</v>
      </c>
      <c r="E24" s="11"/>
    </row>
    <row r="25" spans="1:5" ht="8.1" customHeight="1" thickBot="1">
      <c r="C25" s="13"/>
    </row>
    <row r="26" spans="1:5" s="2" customFormat="1" ht="36.9" thickBot="1">
      <c r="A26" s="34" t="str">
        <f>IF(LEFT(B26,3)="Not",-0.1,IF(LEFT(B26,2)="No",0.01,IF(LEFT(B26,4)="Some",0.03,IF(LEFT(B26,6)="Target",0.05,"n/a"))))</f>
        <v>n/a</v>
      </c>
      <c r="B26" s="35"/>
      <c r="C26" s="36" t="s">
        <v>35</v>
      </c>
      <c r="E26" s="12"/>
    </row>
    <row r="27" spans="1:5" s="2" customFormat="1" ht="31.9" customHeight="1" thickBot="1">
      <c r="A27" s="34">
        <f>IF(LEFT(B27,2)="No",-0.1,IF(LEFT(B27,7)="Partial",0.01,IF(LEFT(B27,4)="Full",0.03,IF(LEFT(B27,5)="Extra",0.05,"n/a"))))</f>
        <v>0.03</v>
      </c>
      <c r="B27" s="35" t="s">
        <v>38</v>
      </c>
      <c r="C27" s="37" t="s">
        <v>31</v>
      </c>
      <c r="E27" s="11"/>
    </row>
    <row r="28" spans="1:5" s="2" customFormat="1" ht="31.5" thickBot="1">
      <c r="A28" s="34">
        <f>IF(LEFT(B28,2)="No",-0.1,IF(LEFT(B28,7)="Partial",0.01,IF(LEFT(B28,4)="Full",0.03,IF(LEFT(B28,5)="Extra",0.05,"n/a"))))</f>
        <v>0.03</v>
      </c>
      <c r="B28" s="35" t="s">
        <v>38</v>
      </c>
      <c r="C28" s="37" t="s">
        <v>34</v>
      </c>
      <c r="E28" s="12"/>
    </row>
    <row r="29" spans="1:5" s="2" customFormat="1" ht="31.5" thickBot="1">
      <c r="A29" s="34">
        <f>IF(LEFT(B29,2)="No",-0.1,IF(LEFT(B29,7)="Partial",0.01,IF(LEFT(B29,4)="Full",0.03,IF(LEFT(B29,5)="Extra",0.05,"n/a"))))</f>
        <v>0.01</v>
      </c>
      <c r="B29" s="35" t="s">
        <v>39</v>
      </c>
      <c r="C29" s="37" t="s">
        <v>33</v>
      </c>
      <c r="E29" s="12"/>
    </row>
    <row r="30" spans="1:5" ht="8.1" customHeight="1" thickBot="1">
      <c r="E30" s="12"/>
    </row>
    <row r="31" spans="1:5" s="19" customFormat="1" ht="36.9" thickBot="1">
      <c r="A31" s="34" t="str">
        <f>IF(LEFT(B31,3)="Not",-0.1,IF(LEFT(B31,6)="Target",0.01,IF(LEFT(B31,6)="Second",0.03,IF(LEFT(B31,5)="First",0.05,"n/a"))))</f>
        <v>n/a</v>
      </c>
      <c r="B31" s="35"/>
      <c r="C31" s="36" t="s">
        <v>11</v>
      </c>
      <c r="E31" s="20"/>
    </row>
    <row r="32" spans="1:5" s="2" customFormat="1" ht="31.5" thickBot="1">
      <c r="A32" s="34" t="str">
        <f>IF(LEFT(B32,2)="No",-0.1,IF(LEFT(B32,7)="Partial",0.01,IF(LEFT(B32,4)="Full",0.03,IF(LEFT(B32,5)="Extra",0.05,"n/a"))))</f>
        <v>n/a</v>
      </c>
      <c r="B32" s="35"/>
      <c r="C32" s="37" t="s">
        <v>12</v>
      </c>
      <c r="E32" s="12"/>
    </row>
    <row r="33" spans="1:5" s="2" customFormat="1" ht="31.5" thickBot="1">
      <c r="A33" s="34" t="str">
        <f>IF(LEFT(B33,2)="No",-0.1,IF(LEFT(B33,7)="Partial",0.01,IF(LEFT(B33,4)="Full",0.03,IF(LEFT(B33,5)="Extra",0.05,"n/a"))))</f>
        <v>n/a</v>
      </c>
      <c r="B33" s="35"/>
      <c r="C33" s="37" t="s">
        <v>32</v>
      </c>
      <c r="E33" s="12"/>
    </row>
    <row r="34" spans="1:5" ht="31.5" thickBot="1">
      <c r="A34" s="34" t="str">
        <f>IF(LEFT(B34,2)="No",-0.1,IF(LEFT(B34,7)="Partial",0.01,IF(LEFT(B34,4)="Full",0.03,IF(LEFT(B34,5)="Extra",0.05,"n/a"))))</f>
        <v>n/a</v>
      </c>
      <c r="B34" s="35"/>
      <c r="C34" s="39" t="s">
        <v>13</v>
      </c>
      <c r="E34" s="12"/>
    </row>
    <row r="35" spans="1:5" ht="15.9" thickBot="1"/>
    <row r="36" spans="1:5" ht="36.9" thickBot="1">
      <c r="A36" s="34">
        <f>IF(LEFT(B36,5)="Small",0.01,IF(LEFT(B36,3)="Big",0.03,IF(LEFT(B36,4)="Lots",0.05,"n/a")))</f>
        <v>0.01</v>
      </c>
      <c r="B36" s="35" t="s">
        <v>40</v>
      </c>
      <c r="C36" s="36" t="s">
        <v>14</v>
      </c>
    </row>
    <row r="37" spans="1:5" ht="64.150000000000006" customHeight="1" thickBot="1">
      <c r="A37" s="45" t="s">
        <v>41</v>
      </c>
      <c r="B37" s="46"/>
      <c r="C37" s="47"/>
      <c r="E37" s="1"/>
    </row>
    <row r="38" spans="1:5">
      <c r="E38" s="1"/>
    </row>
    <row r="39" spans="1:5">
      <c r="E39" s="1"/>
    </row>
    <row r="40" spans="1:5">
      <c r="E40" s="1"/>
    </row>
    <row r="41" spans="1:5">
      <c r="E41" s="1"/>
    </row>
    <row r="42" spans="1:5">
      <c r="E42" s="1"/>
    </row>
  </sheetData>
  <mergeCells count="2">
    <mergeCell ref="A3:B5"/>
    <mergeCell ref="A37:C37"/>
  </mergeCells>
  <conditionalFormatting sqref="A1">
    <cfRule type="colorScale" priority="95">
      <colorScale>
        <cfvo type="num" val="0.4"/>
        <cfvo type="num" val="0.65"/>
        <cfvo type="num" val="0.9"/>
        <color rgb="FFC00000"/>
        <color theme="7" tint="0.39997558519241921"/>
        <color theme="9"/>
      </colorScale>
    </cfRule>
  </conditionalFormatting>
  <conditionalFormatting sqref="A2">
    <cfRule type="colorScale" priority="96">
      <colorScale>
        <cfvo type="num" val="0.5"/>
        <cfvo type="num" val="0.65"/>
        <cfvo type="num" val="0.8"/>
        <color rgb="FFC00000"/>
        <color theme="7" tint="0.39997558519241921"/>
        <color theme="9"/>
      </colorScale>
    </cfRule>
  </conditionalFormatting>
  <conditionalFormatting sqref="B6:B9 B1:B2 A3 B38:B1048576">
    <cfRule type="beginsWith" dxfId="71" priority="97" stopIfTrue="1" operator="beginsWith" text="Extra">
      <formula>LEFT(A1,LEN("Extra"))="Extra"</formula>
    </cfRule>
  </conditionalFormatting>
  <conditionalFormatting sqref="B6:B9">
    <cfRule type="beginsWith" dxfId="70" priority="85" stopIfTrue="1" operator="beginsWith" text="No Credit">
      <formula>LEFT(B6,LEN("No Credit"))="No Credit"</formula>
    </cfRule>
    <cfRule type="beginsWith" dxfId="69" priority="86" stopIfTrue="1" operator="beginsWith" text="Not">
      <formula>LEFT(B6,LEN("Not"))="Not"</formula>
    </cfRule>
    <cfRule type="endsWith" dxfId="68" priority="87" stopIfTrue="1" operator="endsWith" text="Missed">
      <formula>RIGHT(B6,LEN("Missed"))="Missed"</formula>
    </cfRule>
    <cfRule type="beginsWith" dxfId="67" priority="88" stopIfTrue="1" operator="beginsWith" text="Partial">
      <formula>LEFT(B6,LEN("Partial"))="Partial"</formula>
    </cfRule>
    <cfRule type="beginsWith" dxfId="66" priority="89" stopIfTrue="1" operator="beginsWith" text="No Progress">
      <formula>LEFT(B6,LEN("No Progress"))="No Progress"</formula>
    </cfRule>
    <cfRule type="beginsWith" dxfId="65" priority="90" stopIfTrue="1" operator="beginsWith" text="Small">
      <formula>LEFT(B6,LEN("Small"))="Small"</formula>
    </cfRule>
    <cfRule type="beginsWith" dxfId="64" priority="91" stopIfTrue="1" operator="beginsWith" text="Some">
      <formula>LEFT(B6,LEN("Some"))="Some"</formula>
    </cfRule>
    <cfRule type="beginsWith" dxfId="63" priority="92" stopIfTrue="1" operator="beginsWith" text="Full">
      <formula>LEFT(B6,LEN("Full"))="Full"</formula>
    </cfRule>
    <cfRule type="beginsWith" dxfId="62" priority="93" stopIfTrue="1" operator="beginsWith" text="Big">
      <formula>LEFT(B6,LEN("Big"))="Big"</formula>
    </cfRule>
    <cfRule type="endsWith" dxfId="61" priority="94" stopIfTrue="1" operator="endsWith" text="Met">
      <formula>RIGHT(B6,LEN("Met"))="Met"</formula>
    </cfRule>
    <cfRule type="beginsWith" dxfId="60" priority="98" stopIfTrue="1" operator="beginsWith" text="Lots">
      <formula>LEFT(B6,LEN("Lots"))="Lots"</formula>
    </cfRule>
  </conditionalFormatting>
  <conditionalFormatting sqref="B11:B14 B26:B29">
    <cfRule type="beginsWith" dxfId="59" priority="73" stopIfTrue="1" operator="beginsWith" text="No Credit">
      <formula>LEFT(B11,LEN("No Credit"))="No Credit"</formula>
    </cfRule>
    <cfRule type="beginsWith" dxfId="58" priority="74" stopIfTrue="1" operator="beginsWith" text="Not">
      <formula>LEFT(B11,LEN("Not"))="Not"</formula>
    </cfRule>
    <cfRule type="endsWith" dxfId="57" priority="75" stopIfTrue="1" operator="endsWith" text="Missed">
      <formula>RIGHT(B11,LEN("Missed"))="Missed"</formula>
    </cfRule>
    <cfRule type="beginsWith" dxfId="56" priority="76" stopIfTrue="1" operator="beginsWith" text="Partial">
      <formula>LEFT(B11,LEN("Partial"))="Partial"</formula>
    </cfRule>
    <cfRule type="beginsWith" dxfId="55" priority="77" stopIfTrue="1" operator="beginsWith" text="No Progress">
      <formula>LEFT(B11,LEN("No Progress"))="No Progress"</formula>
    </cfRule>
    <cfRule type="beginsWith" dxfId="54" priority="78" stopIfTrue="1" operator="beginsWith" text="Small">
      <formula>LEFT(B11,LEN("Small"))="Small"</formula>
    </cfRule>
    <cfRule type="beginsWith" dxfId="53" priority="79" stopIfTrue="1" operator="beginsWith" text="Some">
      <formula>LEFT(B11,LEN("Some"))="Some"</formula>
    </cfRule>
    <cfRule type="beginsWith" dxfId="52" priority="80" stopIfTrue="1" operator="beginsWith" text="Full">
      <formula>LEFT(B11,LEN("Full"))="Full"</formula>
    </cfRule>
    <cfRule type="beginsWith" dxfId="51" priority="81" stopIfTrue="1" operator="beginsWith" text="Big">
      <formula>LEFT(B11,LEN("Big"))="Big"</formula>
    </cfRule>
    <cfRule type="endsWith" dxfId="50" priority="82" stopIfTrue="1" operator="endsWith" text="Met">
      <formula>RIGHT(B11,LEN("Met"))="Met"</formula>
    </cfRule>
    <cfRule type="beginsWith" dxfId="49" priority="83" stopIfTrue="1" operator="beginsWith" text="Extra">
      <formula>LEFT(B11,LEN("Extra"))="Extra"</formula>
    </cfRule>
    <cfRule type="beginsWith" dxfId="48" priority="84" stopIfTrue="1" operator="beginsWith" text="Lots">
      <formula>LEFT(B11,LEN("Lots"))="Lots"</formula>
    </cfRule>
  </conditionalFormatting>
  <conditionalFormatting sqref="B16:B19">
    <cfRule type="beginsWith" dxfId="47" priority="1" stopIfTrue="1" operator="beginsWith" text="No Credit">
      <formula>LEFT(B16,LEN("No Credit"))="No Credit"</formula>
    </cfRule>
    <cfRule type="beginsWith" dxfId="46" priority="2" stopIfTrue="1" operator="beginsWith" text="Not">
      <formula>LEFT(B16,LEN("Not"))="Not"</formula>
    </cfRule>
    <cfRule type="endsWith" dxfId="45" priority="3" stopIfTrue="1" operator="endsWith" text="Missed">
      <formula>RIGHT(B16,LEN("Missed"))="Missed"</formula>
    </cfRule>
    <cfRule type="beginsWith" dxfId="44" priority="4" stopIfTrue="1" operator="beginsWith" text="Partial">
      <formula>LEFT(B16,LEN("Partial"))="Partial"</formula>
    </cfRule>
    <cfRule type="beginsWith" dxfId="43" priority="5" stopIfTrue="1" operator="beginsWith" text="No Progress">
      <formula>LEFT(B16,LEN("No Progress"))="No Progress"</formula>
    </cfRule>
    <cfRule type="beginsWith" dxfId="42" priority="6" stopIfTrue="1" operator="beginsWith" text="Small">
      <formula>LEFT(B16,LEN("Small"))="Small"</formula>
    </cfRule>
    <cfRule type="beginsWith" dxfId="41" priority="7" stopIfTrue="1" operator="beginsWith" text="Some">
      <formula>LEFT(B16,LEN("Some"))="Some"</formula>
    </cfRule>
    <cfRule type="beginsWith" dxfId="40" priority="8" stopIfTrue="1" operator="beginsWith" text="Full">
      <formula>LEFT(B16,LEN("Full"))="Full"</formula>
    </cfRule>
    <cfRule type="beginsWith" dxfId="39" priority="9" stopIfTrue="1" operator="beginsWith" text="Big">
      <formula>LEFT(B16,LEN("Big"))="Big"</formula>
    </cfRule>
    <cfRule type="endsWith" dxfId="38" priority="10" stopIfTrue="1" operator="endsWith" text="Met">
      <formula>RIGHT(B16,LEN("Met"))="Met"</formula>
    </cfRule>
    <cfRule type="beginsWith" dxfId="37" priority="11" stopIfTrue="1" operator="beginsWith" text="Extra">
      <formula>LEFT(B16,LEN("Extra"))="Extra"</formula>
    </cfRule>
    <cfRule type="beginsWith" dxfId="36" priority="12" stopIfTrue="1" operator="beginsWith" text="Lots">
      <formula>LEFT(B16,LEN("Lots"))="Lots"</formula>
    </cfRule>
  </conditionalFormatting>
  <conditionalFormatting sqref="B21:B24">
    <cfRule type="beginsWith" dxfId="35" priority="49" stopIfTrue="1" operator="beginsWith" text="No Credit">
      <formula>LEFT(B21,LEN("No Credit"))="No Credit"</formula>
    </cfRule>
    <cfRule type="beginsWith" dxfId="34" priority="50" stopIfTrue="1" operator="beginsWith" text="Not">
      <formula>LEFT(B21,LEN("Not"))="Not"</formula>
    </cfRule>
    <cfRule type="endsWith" dxfId="33" priority="51" stopIfTrue="1" operator="endsWith" text="Missed">
      <formula>RIGHT(B21,LEN("Missed"))="Missed"</formula>
    </cfRule>
    <cfRule type="beginsWith" dxfId="32" priority="52" stopIfTrue="1" operator="beginsWith" text="Partial">
      <formula>LEFT(B21,LEN("Partial"))="Partial"</formula>
    </cfRule>
    <cfRule type="beginsWith" dxfId="31" priority="53" stopIfTrue="1" operator="beginsWith" text="No Progress">
      <formula>LEFT(B21,LEN("No Progress"))="No Progress"</formula>
    </cfRule>
    <cfRule type="beginsWith" dxfId="30" priority="54" stopIfTrue="1" operator="beginsWith" text="Small">
      <formula>LEFT(B21,LEN("Small"))="Small"</formula>
    </cfRule>
    <cfRule type="beginsWith" dxfId="29" priority="55" stopIfTrue="1" operator="beginsWith" text="Some">
      <formula>LEFT(B21,LEN("Some"))="Some"</formula>
    </cfRule>
    <cfRule type="beginsWith" dxfId="28" priority="56" stopIfTrue="1" operator="beginsWith" text="Full">
      <formula>LEFT(B21,LEN("Full"))="Full"</formula>
    </cfRule>
    <cfRule type="beginsWith" dxfId="27" priority="57" stopIfTrue="1" operator="beginsWith" text="Big">
      <formula>LEFT(B21,LEN("Big"))="Big"</formula>
    </cfRule>
    <cfRule type="endsWith" dxfId="26" priority="58" stopIfTrue="1" operator="endsWith" text="Met">
      <formula>RIGHT(B21,LEN("Met"))="Met"</formula>
    </cfRule>
    <cfRule type="beginsWith" dxfId="25" priority="59" stopIfTrue="1" operator="beginsWith" text="Extra">
      <formula>LEFT(B21,LEN("Extra"))="Extra"</formula>
    </cfRule>
    <cfRule type="beginsWith" dxfId="24" priority="60" stopIfTrue="1" operator="beginsWith" text="Lots">
      <formula>LEFT(B21,LEN("Lots"))="Lots"</formula>
    </cfRule>
  </conditionalFormatting>
  <conditionalFormatting sqref="B31:B34">
    <cfRule type="beginsWith" dxfId="23" priority="25" stopIfTrue="1" operator="beginsWith" text="No Credit">
      <formula>LEFT(B31,LEN("No Credit"))="No Credit"</formula>
    </cfRule>
    <cfRule type="beginsWith" dxfId="22" priority="26" stopIfTrue="1" operator="beginsWith" text="Not">
      <formula>LEFT(B31,LEN("Not"))="Not"</formula>
    </cfRule>
    <cfRule type="endsWith" dxfId="21" priority="27" stopIfTrue="1" operator="endsWith" text="Missed">
      <formula>RIGHT(B31,LEN("Missed"))="Missed"</formula>
    </cfRule>
    <cfRule type="beginsWith" dxfId="20" priority="28" stopIfTrue="1" operator="beginsWith" text="Partial">
      <formula>LEFT(B31,LEN("Partial"))="Partial"</formula>
    </cfRule>
    <cfRule type="beginsWith" dxfId="19" priority="29" stopIfTrue="1" operator="beginsWith" text="No Progress">
      <formula>LEFT(B31,LEN("No Progress"))="No Progress"</formula>
    </cfRule>
    <cfRule type="beginsWith" dxfId="18" priority="30" stopIfTrue="1" operator="beginsWith" text="Small">
      <formula>LEFT(B31,LEN("Small"))="Small"</formula>
    </cfRule>
    <cfRule type="beginsWith" dxfId="17" priority="31" stopIfTrue="1" operator="beginsWith" text="Some">
      <formula>LEFT(B31,LEN("Some"))="Some"</formula>
    </cfRule>
    <cfRule type="beginsWith" dxfId="16" priority="32" stopIfTrue="1" operator="beginsWith" text="Full">
      <formula>LEFT(B31,LEN("Full"))="Full"</formula>
    </cfRule>
    <cfRule type="beginsWith" dxfId="15" priority="33" stopIfTrue="1" operator="beginsWith" text="Big">
      <formula>LEFT(B31,LEN("Big"))="Big"</formula>
    </cfRule>
    <cfRule type="endsWith" dxfId="14" priority="34" stopIfTrue="1" operator="endsWith" text="Met">
      <formula>RIGHT(B31,LEN("Met"))="Met"</formula>
    </cfRule>
    <cfRule type="beginsWith" dxfId="13" priority="35" stopIfTrue="1" operator="beginsWith" text="Extra">
      <formula>LEFT(B31,LEN("Extra"))="Extra"</formula>
    </cfRule>
    <cfRule type="beginsWith" dxfId="12" priority="36" stopIfTrue="1" operator="beginsWith" text="Lots">
      <formula>LEFT(B31,LEN("Lots"))="Lots"</formula>
    </cfRule>
  </conditionalFormatting>
  <conditionalFormatting sqref="B36">
    <cfRule type="beginsWith" dxfId="11" priority="13" stopIfTrue="1" operator="beginsWith" text="No Credit">
      <formula>LEFT(B36,LEN("No Credit"))="No Credit"</formula>
    </cfRule>
    <cfRule type="beginsWith" dxfId="10" priority="14" stopIfTrue="1" operator="beginsWith" text="Not">
      <formula>LEFT(B36,LEN("Not"))="Not"</formula>
    </cfRule>
    <cfRule type="endsWith" dxfId="9" priority="15" stopIfTrue="1" operator="endsWith" text="Missed">
      <formula>RIGHT(B36,LEN("Missed"))="Missed"</formula>
    </cfRule>
    <cfRule type="beginsWith" dxfId="8" priority="16" stopIfTrue="1" operator="beginsWith" text="Partial">
      <formula>LEFT(B36,LEN("Partial"))="Partial"</formula>
    </cfRule>
    <cfRule type="beginsWith" dxfId="7" priority="17" stopIfTrue="1" operator="beginsWith" text="No Progress">
      <formula>LEFT(B36,LEN("No Progress"))="No Progress"</formula>
    </cfRule>
    <cfRule type="beginsWith" dxfId="6" priority="18" stopIfTrue="1" operator="beginsWith" text="Small">
      <formula>LEFT(B36,LEN("Small"))="Small"</formula>
    </cfRule>
    <cfRule type="beginsWith" dxfId="5" priority="19" stopIfTrue="1" operator="beginsWith" text="Some">
      <formula>LEFT(B36,LEN("Some"))="Some"</formula>
    </cfRule>
    <cfRule type="beginsWith" dxfId="4" priority="20" stopIfTrue="1" operator="beginsWith" text="Full">
      <formula>LEFT(B36,LEN("Full"))="Full"</formula>
    </cfRule>
    <cfRule type="beginsWith" dxfId="3" priority="21" stopIfTrue="1" operator="beginsWith" text="Big">
      <formula>LEFT(B36,LEN("Big"))="Big"</formula>
    </cfRule>
    <cfRule type="endsWith" dxfId="2" priority="22" stopIfTrue="1" operator="endsWith" text="Met">
      <formula>RIGHT(B36,LEN("Met"))="Met"</formula>
    </cfRule>
    <cfRule type="beginsWith" dxfId="1" priority="23" stopIfTrue="1" operator="beginsWith" text="Extra">
      <formula>LEFT(B36,LEN("Extra"))="Extra"</formula>
    </cfRule>
    <cfRule type="beginsWith" dxfId="0" priority="24" stopIfTrue="1" operator="beginsWith" text="Lots">
      <formula>LEFT(B36,LEN("Lots"))="Lots"</formula>
    </cfRule>
  </conditionalFormatting>
  <dataValidations count="5">
    <dataValidation type="list" allowBlank="1" showInputMessage="1" showErrorMessage="1" sqref="B36" xr:uid="{D54A9AC6-6C90-4EBF-BD53-532A2BB84333}">
      <formula1>"Small Thing,Big Thing,Lots of Things"</formula1>
    </dataValidation>
    <dataValidation type="list" allowBlank="1" showInputMessage="1" showErrorMessage="1" sqref="B31" xr:uid="{5F7820BB-5CEB-4372-9D98-7B0054D93701}">
      <formula1>"Not Checked,Target Missed,Second Hour,First Hour"</formula1>
    </dataValidation>
    <dataValidation type="list" allowBlank="1" showInputMessage="1" showErrorMessage="1" sqref="B6 B11 B16 B21 B26" xr:uid="{C56A4067-BDC0-435F-BAF9-B334FB823CE7}">
      <formula1>"Not Checked,No Progress,Some Progress,Target Met"</formula1>
    </dataValidation>
    <dataValidation type="list" allowBlank="1" showInputMessage="1" showErrorMessage="1" sqref="B7:B9 B12:B14 B32:B33 B17:B19 B22:B24 B27:B29" xr:uid="{6EC922D2-C8B6-43EF-8A42-B4025B4BADDB}">
      <formula1>"No Credit,Partial Credit,Full Credit,Extra Credit"</formula1>
    </dataValidation>
    <dataValidation type="list" allowBlank="1" showInputMessage="1" showErrorMessage="1" sqref="B34" xr:uid="{D899E022-03CA-43C4-A3BB-7D7D7EB5BD5D}">
      <formula1>"No Credit,Partial Credit,Full Credit"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B2E6A-0D51-4D50-A1BC-AE4071052ED9}">
  <dimension ref="A1:A51"/>
  <sheetViews>
    <sheetView topLeftCell="A8" workbookViewId="0">
      <selection activeCell="E3" sqref="E3"/>
    </sheetView>
  </sheetViews>
  <sheetFormatPr defaultRowHeight="14.4"/>
  <cols>
    <col min="1" max="1" width="89.68359375" customWidth="1"/>
  </cols>
  <sheetData>
    <row r="1" spans="1:1" ht="23.4" thickBot="1">
      <c r="A1" s="6" t="s">
        <v>0</v>
      </c>
    </row>
    <row r="2" spans="1:1" s="7" customFormat="1" ht="15.9" thickBot="1">
      <c r="A2" s="8" t="str">
        <f>IF(LEN(A3) &gt; 2000,"-----",IF(LEN(A3) &gt; 1000,"---",IF(LEN(A3) &gt; 500,"You need more post-mortem reflection.",IF(A3&gt;0,"You need A LOT MORE post-mortem reflection.","How did the project go? What did you learn? What could you improve?"))))</f>
        <v>---</v>
      </c>
    </row>
    <row r="3" spans="1:1" ht="409.5" customHeight="1">
      <c r="A3" s="48" t="s">
        <v>58</v>
      </c>
    </row>
    <row r="4" spans="1:1">
      <c r="A4" s="49"/>
    </row>
    <row r="5" spans="1:1">
      <c r="A5" s="49"/>
    </row>
    <row r="6" spans="1:1">
      <c r="A6" s="49"/>
    </row>
    <row r="7" spans="1:1">
      <c r="A7" s="49"/>
    </row>
    <row r="8" spans="1:1">
      <c r="A8" s="49"/>
    </row>
    <row r="9" spans="1:1">
      <c r="A9" s="49"/>
    </row>
    <row r="10" spans="1:1">
      <c r="A10" s="49"/>
    </row>
    <row r="11" spans="1:1">
      <c r="A11" s="49"/>
    </row>
    <row r="12" spans="1:1">
      <c r="A12" s="49"/>
    </row>
    <row r="13" spans="1:1">
      <c r="A13" s="49"/>
    </row>
    <row r="14" spans="1:1">
      <c r="A14" s="49"/>
    </row>
    <row r="15" spans="1:1">
      <c r="A15" s="49"/>
    </row>
    <row r="16" spans="1:1">
      <c r="A16" s="49"/>
    </row>
    <row r="17" spans="1:1">
      <c r="A17" s="49"/>
    </row>
    <row r="18" spans="1:1">
      <c r="A18" s="49"/>
    </row>
    <row r="19" spans="1:1">
      <c r="A19" s="49"/>
    </row>
    <row r="20" spans="1:1">
      <c r="A20" s="49"/>
    </row>
    <row r="21" spans="1:1">
      <c r="A21" s="49"/>
    </row>
    <row r="22" spans="1:1">
      <c r="A22" s="49"/>
    </row>
    <row r="23" spans="1:1">
      <c r="A23" s="49"/>
    </row>
    <row r="24" spans="1:1">
      <c r="A24" s="49"/>
    </row>
    <row r="25" spans="1:1">
      <c r="A25" s="49"/>
    </row>
    <row r="26" spans="1:1">
      <c r="A26" s="49"/>
    </row>
    <row r="27" spans="1:1">
      <c r="A27" s="49"/>
    </row>
    <row r="28" spans="1:1">
      <c r="A28" s="49"/>
    </row>
    <row r="29" spans="1:1">
      <c r="A29" s="49"/>
    </row>
    <row r="30" spans="1:1">
      <c r="A30" s="49"/>
    </row>
    <row r="31" spans="1:1">
      <c r="A31" s="49"/>
    </row>
    <row r="32" spans="1:1">
      <c r="A32" s="49"/>
    </row>
    <row r="33" spans="1:1">
      <c r="A33" s="49"/>
    </row>
    <row r="34" spans="1:1">
      <c r="A34" s="49"/>
    </row>
    <row r="35" spans="1:1">
      <c r="A35" s="49"/>
    </row>
    <row r="36" spans="1:1">
      <c r="A36" s="49"/>
    </row>
    <row r="37" spans="1:1">
      <c r="A37" s="49"/>
    </row>
    <row r="38" spans="1:1">
      <c r="A38" s="49"/>
    </row>
    <row r="39" spans="1:1">
      <c r="A39" s="49"/>
    </row>
    <row r="40" spans="1:1">
      <c r="A40" s="49"/>
    </row>
    <row r="41" spans="1:1">
      <c r="A41" s="49"/>
    </row>
    <row r="42" spans="1:1">
      <c r="A42" s="49"/>
    </row>
    <row r="43" spans="1:1">
      <c r="A43" s="49"/>
    </row>
    <row r="44" spans="1:1">
      <c r="A44" s="49"/>
    </row>
    <row r="45" spans="1:1">
      <c r="A45" s="49"/>
    </row>
    <row r="46" spans="1:1">
      <c r="A46" s="49"/>
    </row>
    <row r="47" spans="1:1">
      <c r="A47" s="49"/>
    </row>
    <row r="48" spans="1:1">
      <c r="A48" s="49"/>
    </row>
    <row r="49" spans="1:1">
      <c r="A49" s="49"/>
    </row>
    <row r="50" spans="1:1">
      <c r="A50" s="49"/>
    </row>
    <row r="51" spans="1:1">
      <c r="A51" t="s">
        <v>57</v>
      </c>
    </row>
  </sheetData>
  <mergeCells count="1">
    <mergeCell ref="A3:A5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3858F-6F0E-43D3-8CF7-72607D7D12BD}">
  <dimension ref="A1:M4"/>
  <sheetViews>
    <sheetView workbookViewId="0">
      <selection activeCell="B6" sqref="B6"/>
    </sheetView>
  </sheetViews>
  <sheetFormatPr defaultColWidth="8.83984375" defaultRowHeight="15.6"/>
  <cols>
    <col min="1" max="2" width="10.68359375" style="22" customWidth="1"/>
    <col min="3" max="3" width="30.578125" style="1" customWidth="1"/>
    <col min="4" max="7" width="8.83984375" style="22"/>
    <col min="8" max="8" width="8.83984375" style="23"/>
    <col min="9" max="9" width="11.578125" style="22" customWidth="1"/>
    <col min="10" max="13" width="11.578125" style="23" customWidth="1"/>
    <col min="14" max="16384" width="8.83984375" style="1"/>
  </cols>
  <sheetData>
    <row r="1" spans="1:13" s="3" customFormat="1" ht="23.1">
      <c r="A1" s="50" t="s">
        <v>5</v>
      </c>
      <c r="B1" s="51"/>
      <c r="C1" s="51"/>
      <c r="D1" s="51"/>
      <c r="E1" s="51"/>
      <c r="F1" s="51"/>
      <c r="G1" s="51"/>
      <c r="H1" s="51"/>
      <c r="I1" s="51"/>
      <c r="J1" s="51"/>
      <c r="K1" s="51"/>
      <c r="L1" s="51"/>
      <c r="M1" s="51"/>
    </row>
    <row r="2" spans="1:13" s="26" customFormat="1">
      <c r="A2" s="24" t="s">
        <v>7</v>
      </c>
      <c r="B2" s="25"/>
      <c r="C2" s="25"/>
      <c r="D2" s="25"/>
      <c r="E2" s="25"/>
      <c r="F2" s="25"/>
      <c r="G2" s="25"/>
      <c r="H2" s="25"/>
      <c r="I2" s="25"/>
      <c r="J2" s="25"/>
      <c r="K2" s="25"/>
      <c r="L2" s="25"/>
      <c r="M2" s="25"/>
    </row>
    <row r="3" spans="1:13">
      <c r="A3" s="31" t="s">
        <v>6</v>
      </c>
    </row>
    <row r="4" spans="1:13">
      <c r="A4" s="31" t="s">
        <v>36</v>
      </c>
    </row>
  </sheetData>
  <mergeCells count="1">
    <mergeCell ref="A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F06A3-3058-4E5E-8648-85AEA2F13214}">
  <dimension ref="A1:A28"/>
  <sheetViews>
    <sheetView workbookViewId="0">
      <selection activeCell="A20" sqref="A20"/>
    </sheetView>
  </sheetViews>
  <sheetFormatPr defaultColWidth="9.05078125" defaultRowHeight="14.4"/>
  <cols>
    <col min="1" max="1" width="172.7890625" style="29" customWidth="1"/>
    <col min="2" max="16384" width="9.05078125" style="28"/>
  </cols>
  <sheetData>
    <row r="1" spans="1:1" ht="23.1">
      <c r="A1" s="27" t="s">
        <v>3</v>
      </c>
    </row>
    <row r="2" spans="1:1">
      <c r="A2" s="30" t="s">
        <v>4</v>
      </c>
    </row>
    <row r="3" spans="1:1" ht="30" customHeight="1">
      <c r="A3" s="29" t="s">
        <v>42</v>
      </c>
    </row>
    <row r="4" spans="1:1" ht="19.5" customHeight="1">
      <c r="A4" s="29" t="s">
        <v>44</v>
      </c>
    </row>
    <row r="5" spans="1:1" ht="409" customHeight="1">
      <c r="A5" s="52" t="s">
        <v>43</v>
      </c>
    </row>
    <row r="6" spans="1:1">
      <c r="A6" s="29" t="s">
        <v>45</v>
      </c>
    </row>
    <row r="7" spans="1:1" ht="409.5">
      <c r="A7" s="52" t="s">
        <v>46</v>
      </c>
    </row>
    <row r="9" spans="1:1" ht="409.5">
      <c r="A9" s="52" t="s">
        <v>47</v>
      </c>
    </row>
    <row r="11" spans="1:1" ht="172.8">
      <c r="A11" s="52" t="s">
        <v>48</v>
      </c>
    </row>
    <row r="14" spans="1:1" ht="409.5">
      <c r="A14" s="52" t="s">
        <v>49</v>
      </c>
    </row>
    <row r="16" spans="1:1" ht="409.5">
      <c r="A16" s="52" t="s">
        <v>50</v>
      </c>
    </row>
    <row r="18" spans="1:1" ht="409.5">
      <c r="A18" s="52" t="s">
        <v>51</v>
      </c>
    </row>
    <row r="20" spans="1:1" ht="409.5">
      <c r="A20" s="52" t="s">
        <v>52</v>
      </c>
    </row>
    <row r="23" spans="1:1" ht="409.5">
      <c r="A23" s="52" t="s">
        <v>53</v>
      </c>
    </row>
    <row r="25" spans="1:1">
      <c r="A25" s="29" t="s">
        <v>54</v>
      </c>
    </row>
    <row r="26" spans="1:1" ht="409.5">
      <c r="A26" s="52" t="s">
        <v>55</v>
      </c>
    </row>
    <row r="28" spans="1:1" ht="409.5">
      <c r="A28" s="52" t="s">
        <v>56</v>
      </c>
    </row>
  </sheetData>
  <dataValidations disablePrompts="1" count="1">
    <dataValidation type="list" allowBlank="1" showInputMessage="1" showErrorMessage="1" sqref="A3" xr:uid="{BDA3E28D-9CA2-4C11-BA20-5C2D734C54D6}">
      <formula1>"Lab A Goals Met,Lab B Goals Met,Lab C Goals Met,Lab D Goals Met, Lab E Goals Met"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vt:lpstr>
      <vt:lpstr>Post-Mortem</vt:lpstr>
      <vt:lpstr>Telemetry Data</vt:lpstr>
      <vt:lpstr>Code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Ellinger</dc:creator>
  <cp:lastModifiedBy>Gary Yang</cp:lastModifiedBy>
  <dcterms:created xsi:type="dcterms:W3CDTF">2015-06-05T18:17:20Z</dcterms:created>
  <dcterms:modified xsi:type="dcterms:W3CDTF">2026-03-10T04:22:12Z</dcterms:modified>
</cp:coreProperties>
</file>